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3505" windowHeight="9525"/>
  </bookViews>
  <sheets>
    <sheet name="Sheet1" sheetId="1" r:id="rId1"/>
  </sheets>
  <externalReferences>
    <externalReference r:id="rId2"/>
  </externalReferences>
  <definedNames>
    <definedName name="Loaded_Begin_Marker">"Loaded '"</definedName>
    <definedName name="Loaded_End_Marker">"'."</definedName>
    <definedName name="OutputDirectoryname_Debug">"""C:\Users\DAVE\Documents\Programming\Visual_Studio_6\EXE\Console\SoundOff\Debug"""</definedName>
    <definedName name="OutputDirectoryName_Release">"C:\Users\DAVE\Documents\Programming\Visual_Studio_6\EXE\Console\SoundOff\Release"</definedName>
    <definedName name="Win32_Subsystem">"C:\Windows\SysWOW64"</definedName>
    <definedName name="WWBin">"C:\bin"</definedName>
    <definedName name="WWInclude">"C:\Users\DAVE\Documents\Programming\Visual_Studio_6\INCLUDE\"</definedName>
    <definedName name="WWSYMBOL">"C:\bin\WWSYMBOL"</definedName>
  </definedNames>
  <calcPr calcId="145621"/>
</workbook>
</file>

<file path=xl/calcChain.xml><?xml version="1.0" encoding="utf-8"?>
<calcChain xmlns="http://schemas.openxmlformats.org/spreadsheetml/2006/main">
  <c r="T10" i="1" l="1"/>
  <c r="T9" i="1"/>
  <c r="T8" i="1"/>
  <c r="S10" i="1"/>
  <c r="S9" i="1"/>
  <c r="S8" i="1"/>
  <c r="R10" i="1"/>
  <c r="R9" i="1"/>
  <c r="R8"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7" i="1"/>
  <c r="B7" i="1"/>
  <c r="C6" i="1"/>
  <c r="B6" i="1"/>
  <c r="C5" i="1"/>
  <c r="B5" i="1"/>
  <c r="C4" i="1"/>
  <c r="B4" i="1"/>
  <c r="C3" i="1"/>
  <c r="B3" i="1"/>
  <c r="S2" i="1"/>
  <c r="D37" i="1" l="1"/>
  <c r="D38" i="1"/>
  <c r="D39" i="1"/>
  <c r="D40" i="1"/>
  <c r="D41" i="1"/>
  <c r="D42" i="1"/>
  <c r="D43" i="1"/>
  <c r="D44" i="1"/>
  <c r="D45" i="1"/>
  <c r="D46" i="1"/>
  <c r="D47" i="1"/>
  <c r="D48" i="1"/>
  <c r="D49" i="1"/>
  <c r="D25" i="1"/>
  <c r="D26" i="1"/>
  <c r="D27" i="1"/>
  <c r="D28" i="1"/>
  <c r="D29" i="1"/>
  <c r="D30" i="1"/>
  <c r="D31" i="1"/>
  <c r="D32" i="1"/>
  <c r="D33" i="1"/>
  <c r="D34" i="1"/>
  <c r="D35" i="1"/>
  <c r="D36" i="1"/>
  <c r="D3" i="1"/>
  <c r="D4" i="1"/>
  <c r="D5" i="1"/>
  <c r="D6" i="1"/>
  <c r="D7" i="1"/>
  <c r="D11" i="1"/>
  <c r="D12" i="1"/>
  <c r="D13" i="1"/>
  <c r="D14" i="1"/>
  <c r="D15" i="1"/>
  <c r="D16" i="1"/>
  <c r="D17" i="1"/>
  <c r="D18" i="1"/>
  <c r="D19" i="1"/>
  <c r="D20" i="1"/>
  <c r="D21" i="1"/>
  <c r="D22" i="1"/>
  <c r="D23" i="1"/>
  <c r="D24" i="1"/>
  <c r="E37" i="1"/>
  <c r="G37" i="1"/>
  <c r="F26" i="1"/>
  <c r="E32" i="1"/>
  <c r="G32" i="1"/>
  <c r="F4" i="1"/>
  <c r="E11" i="1"/>
  <c r="G11" i="1"/>
  <c r="F15" i="1"/>
  <c r="E19" i="1"/>
  <c r="G19" i="1"/>
  <c r="F23" i="1"/>
  <c r="E38" i="1"/>
  <c r="G38" i="1"/>
  <c r="F40" i="1"/>
  <c r="E42" i="1"/>
  <c r="G42" i="1"/>
  <c r="F44" i="1"/>
  <c r="E46" i="1"/>
  <c r="G46" i="1"/>
  <c r="F48" i="1"/>
  <c r="E25" i="1"/>
  <c r="G25" i="1"/>
  <c r="F27" i="1"/>
  <c r="E29" i="1"/>
  <c r="G29" i="1"/>
  <c r="F31" i="1"/>
  <c r="E33" i="1"/>
  <c r="G33" i="1"/>
  <c r="F35" i="1"/>
  <c r="E3" i="1"/>
  <c r="G3" i="1"/>
  <c r="F5" i="1"/>
  <c r="E7" i="1"/>
  <c r="G7" i="1"/>
  <c r="F12" i="1"/>
  <c r="E14" i="1"/>
  <c r="G14" i="1"/>
  <c r="F16" i="1"/>
  <c r="E18" i="1"/>
  <c r="G18" i="1"/>
  <c r="F20" i="1"/>
  <c r="E22" i="1"/>
  <c r="G22" i="1"/>
  <c r="F24" i="1"/>
  <c r="E39" i="1"/>
  <c r="G39" i="1"/>
  <c r="F41" i="1"/>
  <c r="E43" i="1"/>
  <c r="G43" i="1"/>
  <c r="F45" i="1"/>
  <c r="E47" i="1"/>
  <c r="G47" i="1"/>
  <c r="F49" i="1"/>
  <c r="E28" i="1"/>
  <c r="G28" i="1"/>
  <c r="F30" i="1"/>
  <c r="E34" i="1"/>
  <c r="G34" i="1"/>
  <c r="F36" i="1"/>
  <c r="E6" i="1"/>
  <c r="G6" i="1"/>
  <c r="F13" i="1"/>
  <c r="E17" i="1"/>
  <c r="G17" i="1"/>
  <c r="F21" i="1"/>
  <c r="F37" i="1"/>
  <c r="E26" i="1"/>
  <c r="F32" i="1"/>
  <c r="E4" i="1"/>
  <c r="G4" i="1"/>
  <c r="F11" i="1"/>
  <c r="E15" i="1"/>
  <c r="G15" i="1"/>
  <c r="F19" i="1"/>
  <c r="E23" i="1"/>
  <c r="G23" i="1"/>
  <c r="F38" i="1"/>
  <c r="E40" i="1"/>
  <c r="G40" i="1"/>
  <c r="F42" i="1"/>
  <c r="E44" i="1"/>
  <c r="G44" i="1"/>
  <c r="E48" i="1"/>
  <c r="G48" i="1"/>
  <c r="F25" i="1"/>
  <c r="E27" i="1"/>
  <c r="F29" i="1"/>
  <c r="E31" i="1"/>
  <c r="F33" i="1"/>
  <c r="G35" i="1"/>
  <c r="E5" i="1"/>
  <c r="G5" i="1"/>
  <c r="E12" i="1"/>
  <c r="F14" i="1"/>
  <c r="G16" i="1"/>
  <c r="E20" i="1"/>
  <c r="G20" i="1"/>
  <c r="E24" i="1"/>
  <c r="F39" i="1"/>
  <c r="G41" i="1"/>
  <c r="E45" i="1"/>
  <c r="F47" i="1"/>
  <c r="E49" i="1"/>
  <c r="F28" i="1"/>
  <c r="G30" i="1"/>
  <c r="F34" i="1"/>
  <c r="G36" i="1"/>
  <c r="E13" i="1"/>
  <c r="F17" i="1"/>
  <c r="E21" i="1"/>
  <c r="G26" i="1"/>
  <c r="F46" i="1"/>
  <c r="G27" i="1"/>
  <c r="G31" i="1"/>
  <c r="E35" i="1"/>
  <c r="F3" i="1"/>
  <c r="F7" i="1"/>
  <c r="G12" i="1"/>
  <c r="E16" i="1"/>
  <c r="F18" i="1"/>
  <c r="F22" i="1"/>
  <c r="G24" i="1"/>
  <c r="E41" i="1"/>
  <c r="F43" i="1"/>
  <c r="G45" i="1"/>
  <c r="G49" i="1"/>
  <c r="E30" i="1"/>
  <c r="E36" i="1"/>
  <c r="F6" i="1"/>
  <c r="G13" i="1"/>
  <c r="G21" i="1"/>
  <c r="I3" i="1" l="1"/>
  <c r="I21" i="1"/>
  <c r="I17" i="1"/>
  <c r="I13" i="1"/>
  <c r="I6" i="1"/>
  <c r="I36" i="1"/>
  <c r="I34" i="1"/>
  <c r="I30" i="1"/>
  <c r="I28" i="1"/>
  <c r="I49" i="1"/>
  <c r="I47" i="1"/>
  <c r="I45" i="1"/>
  <c r="I43" i="1"/>
  <c r="I41" i="1"/>
  <c r="I39" i="1"/>
  <c r="I24" i="1"/>
  <c r="I22" i="1"/>
  <c r="I20" i="1"/>
  <c r="I18" i="1"/>
  <c r="I16" i="1"/>
  <c r="I14" i="1"/>
  <c r="I12" i="1"/>
  <c r="I7" i="1"/>
  <c r="I5" i="1"/>
  <c r="I35" i="1"/>
  <c r="I33" i="1"/>
  <c r="I31" i="1"/>
  <c r="I29" i="1"/>
  <c r="I27" i="1"/>
  <c r="I25" i="1"/>
  <c r="I48" i="1"/>
  <c r="I46" i="1"/>
  <c r="I44" i="1"/>
  <c r="I42" i="1"/>
  <c r="I40" i="1"/>
  <c r="I38" i="1"/>
  <c r="I23" i="1"/>
  <c r="I19" i="1"/>
  <c r="I15" i="1"/>
  <c r="I11" i="1"/>
  <c r="I4" i="1"/>
  <c r="I32" i="1"/>
  <c r="I26" i="1"/>
  <c r="I37" i="1"/>
  <c r="H21" i="1"/>
  <c r="H17" i="1"/>
  <c r="H13" i="1"/>
  <c r="H6" i="1"/>
  <c r="H36" i="1"/>
  <c r="H34" i="1"/>
  <c r="H30" i="1"/>
  <c r="H28" i="1"/>
  <c r="H49" i="1"/>
  <c r="H47" i="1"/>
  <c r="H45" i="1"/>
  <c r="H43" i="1"/>
  <c r="H41" i="1"/>
  <c r="H39" i="1"/>
  <c r="H24" i="1"/>
  <c r="H22" i="1"/>
  <c r="H20" i="1"/>
  <c r="H18" i="1"/>
  <c r="H16" i="1"/>
  <c r="H14" i="1"/>
  <c r="H12" i="1"/>
  <c r="H7" i="1"/>
  <c r="H5" i="1"/>
  <c r="H3" i="1"/>
  <c r="H35" i="1"/>
  <c r="H33" i="1"/>
  <c r="H31" i="1"/>
  <c r="H29" i="1"/>
  <c r="H27" i="1"/>
  <c r="H25" i="1"/>
  <c r="H48" i="1"/>
  <c r="H46" i="1"/>
  <c r="H44" i="1"/>
  <c r="H42" i="1"/>
  <c r="H40" i="1"/>
  <c r="H38" i="1"/>
  <c r="H23" i="1"/>
  <c r="H19" i="1"/>
  <c r="H15" i="1"/>
  <c r="H11" i="1"/>
  <c r="H4" i="1"/>
  <c r="H32" i="1"/>
  <c r="H26" i="1"/>
  <c r="H37" i="1"/>
  <c r="L7" i="1"/>
  <c r="L25" i="1"/>
  <c r="L11" i="1"/>
  <c r="K30" i="1"/>
  <c r="K31" i="1"/>
  <c r="K23" i="1"/>
  <c r="K26" i="1"/>
  <c r="K7" i="1"/>
  <c r="K25" i="1"/>
  <c r="K11" i="1"/>
  <c r="K27" i="1"/>
  <c r="S26" i="1" l="1"/>
  <c r="N26" i="1"/>
  <c r="O26" i="1" s="1"/>
  <c r="T15" i="1"/>
  <c r="R15" i="1"/>
  <c r="O15" i="1"/>
  <c r="S15" i="1"/>
  <c r="N15" i="1"/>
  <c r="P15" i="1"/>
  <c r="S40" i="1"/>
  <c r="O40" i="1"/>
  <c r="T40" i="1"/>
  <c r="R40" i="1"/>
  <c r="P40" i="1"/>
  <c r="N40" i="1"/>
  <c r="S48" i="1"/>
  <c r="O48" i="1"/>
  <c r="T48" i="1"/>
  <c r="R48" i="1"/>
  <c r="N48" i="1"/>
  <c r="P48" i="1"/>
  <c r="S31" i="1"/>
  <c r="N31" i="1"/>
  <c r="O31" i="1" s="1"/>
  <c r="T5" i="1"/>
  <c r="R5" i="1"/>
  <c r="S5" i="1"/>
  <c r="O5" i="1"/>
  <c r="N5" i="1"/>
  <c r="P5" i="1"/>
  <c r="S16" i="1"/>
  <c r="T16" i="1"/>
  <c r="R16" i="1"/>
  <c r="O16" i="1"/>
  <c r="N16" i="1"/>
  <c r="P16" i="1"/>
  <c r="T41" i="1"/>
  <c r="R41" i="1"/>
  <c r="N41" i="1"/>
  <c r="S41" i="1"/>
  <c r="O41" i="1"/>
  <c r="P41" i="1"/>
  <c r="T49" i="1"/>
  <c r="R49" i="1"/>
  <c r="N49" i="1"/>
  <c r="S49" i="1"/>
  <c r="O49" i="1"/>
  <c r="P49" i="1"/>
  <c r="T21" i="1"/>
  <c r="R21" i="1"/>
  <c r="O21" i="1"/>
  <c r="S21" i="1"/>
  <c r="N21" i="1"/>
  <c r="P21" i="1"/>
  <c r="S4" i="1"/>
  <c r="O4" i="1"/>
  <c r="T4" i="1"/>
  <c r="R4" i="1"/>
  <c r="N4" i="1"/>
  <c r="P4" i="1"/>
  <c r="S23" i="1"/>
  <c r="N23" i="1"/>
  <c r="O23" i="1" s="1"/>
  <c r="S44" i="1"/>
  <c r="O44" i="1"/>
  <c r="T44" i="1"/>
  <c r="R44" i="1"/>
  <c r="N44" i="1"/>
  <c r="P44" i="1"/>
  <c r="S27" i="1"/>
  <c r="O27" i="1"/>
  <c r="T35" i="1"/>
  <c r="R35" i="1"/>
  <c r="S35" i="1"/>
  <c r="O35" i="1"/>
  <c r="N35" i="1"/>
  <c r="P35" i="1"/>
  <c r="S12" i="1"/>
  <c r="T12" i="1"/>
  <c r="R12" i="1"/>
  <c r="O12" i="1"/>
  <c r="N12" i="1"/>
  <c r="P12" i="1"/>
  <c r="S20" i="1"/>
  <c r="T20" i="1"/>
  <c r="R20" i="1"/>
  <c r="O20" i="1"/>
  <c r="N20" i="1"/>
  <c r="P20" i="1"/>
  <c r="S24" i="1"/>
  <c r="R24" i="1"/>
  <c r="O24" i="1"/>
  <c r="T24" i="1"/>
  <c r="N24" i="1"/>
  <c r="P24" i="1"/>
  <c r="T45" i="1"/>
  <c r="R45" i="1"/>
  <c r="N45" i="1"/>
  <c r="S45" i="1"/>
  <c r="O45" i="1"/>
  <c r="P45" i="1"/>
  <c r="S30" i="1"/>
  <c r="N30" i="1"/>
  <c r="S36" i="1"/>
  <c r="O36" i="1"/>
  <c r="T36" i="1"/>
  <c r="R36" i="1"/>
  <c r="P36" i="1"/>
  <c r="N36" i="1"/>
  <c r="T13" i="1"/>
  <c r="R13" i="1"/>
  <c r="O13" i="1"/>
  <c r="S13" i="1"/>
  <c r="N13" i="1"/>
  <c r="P13" i="1"/>
  <c r="T37" i="1"/>
  <c r="R37" i="1"/>
  <c r="S37" i="1"/>
  <c r="O37" i="1"/>
  <c r="N37" i="1"/>
  <c r="P37" i="1"/>
  <c r="S32" i="1"/>
  <c r="O32" i="1"/>
  <c r="T32" i="1"/>
  <c r="R32" i="1"/>
  <c r="P32" i="1"/>
  <c r="N32" i="1"/>
  <c r="S11" i="1"/>
  <c r="N11" i="1"/>
  <c r="O11" i="1" s="1"/>
  <c r="T19" i="1"/>
  <c r="R19" i="1"/>
  <c r="O19" i="1"/>
  <c r="S19" i="1"/>
  <c r="N19" i="1"/>
  <c r="P19" i="1"/>
  <c r="S38" i="1"/>
  <c r="O38" i="1"/>
  <c r="T38" i="1"/>
  <c r="R38" i="1"/>
  <c r="P38" i="1"/>
  <c r="N38" i="1"/>
  <c r="S42" i="1"/>
  <c r="O42" i="1"/>
  <c r="T42" i="1"/>
  <c r="R42" i="1"/>
  <c r="N42" i="1"/>
  <c r="P42" i="1"/>
  <c r="S46" i="1"/>
  <c r="O46" i="1"/>
  <c r="T46" i="1"/>
  <c r="R46" i="1"/>
  <c r="N46" i="1"/>
  <c r="P46" i="1"/>
  <c r="S25" i="1"/>
  <c r="N25" i="1"/>
  <c r="O25" i="1" s="1"/>
  <c r="T29" i="1"/>
  <c r="R29" i="1"/>
  <c r="S29" i="1"/>
  <c r="O29" i="1"/>
  <c r="N29" i="1"/>
  <c r="P29" i="1"/>
  <c r="T33" i="1"/>
  <c r="R33" i="1"/>
  <c r="S33" i="1"/>
  <c r="O33" i="1"/>
  <c r="N33" i="1"/>
  <c r="P33" i="1"/>
  <c r="T3" i="1"/>
  <c r="R3" i="1"/>
  <c r="S3" i="1"/>
  <c r="O3" i="1"/>
  <c r="N3" i="1"/>
  <c r="P3" i="1"/>
  <c r="M3" i="1"/>
  <c r="K3" i="1"/>
  <c r="L3" i="1"/>
  <c r="S7" i="1"/>
  <c r="N7" i="1"/>
  <c r="O7" i="1" s="1"/>
  <c r="S14" i="1"/>
  <c r="T14" i="1"/>
  <c r="R14" i="1"/>
  <c r="O14" i="1"/>
  <c r="N14" i="1"/>
  <c r="P14" i="1"/>
  <c r="S18" i="1"/>
  <c r="T18" i="1"/>
  <c r="R18" i="1"/>
  <c r="O18" i="1"/>
  <c r="N18" i="1"/>
  <c r="P18" i="1"/>
  <c r="S22" i="1"/>
  <c r="T22" i="1"/>
  <c r="R22" i="1"/>
  <c r="O22" i="1"/>
  <c r="N22" i="1"/>
  <c r="P22" i="1"/>
  <c r="T39" i="1"/>
  <c r="R39" i="1"/>
  <c r="S39" i="1"/>
  <c r="O39" i="1"/>
  <c r="N39" i="1"/>
  <c r="P39" i="1"/>
  <c r="T43" i="1"/>
  <c r="R43" i="1"/>
  <c r="N43" i="1"/>
  <c r="S43" i="1"/>
  <c r="O43" i="1"/>
  <c r="P43" i="1"/>
  <c r="T47" i="1"/>
  <c r="R47" i="1"/>
  <c r="N47" i="1"/>
  <c r="S47" i="1"/>
  <c r="O47" i="1"/>
  <c r="P47" i="1"/>
  <c r="S28" i="1"/>
  <c r="O28" i="1"/>
  <c r="T28" i="1"/>
  <c r="R28" i="1"/>
  <c r="P28" i="1"/>
  <c r="N28" i="1"/>
  <c r="S34" i="1"/>
  <c r="O34" i="1"/>
  <c r="T34" i="1"/>
  <c r="R34" i="1"/>
  <c r="N34" i="1"/>
  <c r="P34" i="1"/>
  <c r="S6" i="1"/>
  <c r="O6" i="1"/>
  <c r="T6" i="1"/>
  <c r="R6" i="1"/>
  <c r="N6" i="1"/>
  <c r="P6" i="1"/>
  <c r="T17" i="1"/>
  <c r="R17" i="1"/>
  <c r="O17" i="1"/>
  <c r="S17" i="1"/>
  <c r="N17" i="1"/>
  <c r="P17" i="1"/>
  <c r="J3" i="1"/>
  <c r="M37" i="1"/>
  <c r="L37" i="1"/>
  <c r="K37" i="1"/>
  <c r="M32" i="1"/>
  <c r="L32" i="1"/>
  <c r="K32" i="1"/>
  <c r="M11" i="1"/>
  <c r="M19" i="1"/>
  <c r="L19" i="1"/>
  <c r="K19" i="1"/>
  <c r="M38" i="1"/>
  <c r="L38" i="1"/>
  <c r="K38" i="1"/>
  <c r="M42" i="1"/>
  <c r="L42" i="1"/>
  <c r="K42" i="1"/>
  <c r="M46" i="1"/>
  <c r="L46" i="1"/>
  <c r="K46" i="1"/>
  <c r="M25" i="1"/>
  <c r="M29" i="1"/>
  <c r="L29" i="1"/>
  <c r="K29" i="1"/>
  <c r="M33" i="1"/>
  <c r="L33" i="1"/>
  <c r="K33" i="1"/>
  <c r="M7" i="1"/>
  <c r="M14" i="1"/>
  <c r="L14" i="1"/>
  <c r="K14" i="1"/>
  <c r="M18" i="1"/>
  <c r="L18" i="1"/>
  <c r="K18" i="1"/>
  <c r="M22" i="1"/>
  <c r="L22" i="1"/>
  <c r="K22" i="1"/>
  <c r="M39" i="1"/>
  <c r="L39" i="1"/>
  <c r="K39" i="1"/>
  <c r="M43" i="1"/>
  <c r="L43" i="1"/>
  <c r="K43" i="1"/>
  <c r="M47" i="1"/>
  <c r="L47" i="1"/>
  <c r="K47" i="1"/>
  <c r="M28" i="1"/>
  <c r="L28" i="1"/>
  <c r="K28" i="1"/>
  <c r="M34" i="1"/>
  <c r="L34" i="1"/>
  <c r="K34" i="1"/>
  <c r="M6" i="1"/>
  <c r="L6" i="1"/>
  <c r="K6" i="1"/>
  <c r="M17" i="1"/>
  <c r="L17" i="1"/>
  <c r="K17" i="1"/>
  <c r="J32" i="1"/>
  <c r="J19" i="1"/>
  <c r="J42" i="1"/>
  <c r="J25" i="1"/>
  <c r="J33" i="1"/>
  <c r="J7" i="1"/>
  <c r="J18" i="1"/>
  <c r="J39" i="1"/>
  <c r="J47" i="1"/>
  <c r="J34" i="1"/>
  <c r="J17" i="1"/>
  <c r="J26" i="1"/>
  <c r="J4" i="1"/>
  <c r="M4" i="1"/>
  <c r="L4" i="1"/>
  <c r="K4" i="1"/>
  <c r="J15" i="1"/>
  <c r="M15" i="1"/>
  <c r="L15" i="1"/>
  <c r="K15" i="1"/>
  <c r="J23" i="1"/>
  <c r="J40" i="1"/>
  <c r="M40" i="1"/>
  <c r="L40" i="1"/>
  <c r="K40" i="1"/>
  <c r="J44" i="1"/>
  <c r="M44" i="1"/>
  <c r="L44" i="1"/>
  <c r="K44" i="1"/>
  <c r="J48" i="1"/>
  <c r="M48" i="1"/>
  <c r="L48" i="1"/>
  <c r="K48" i="1"/>
  <c r="J27" i="1"/>
  <c r="J31" i="1"/>
  <c r="J35" i="1"/>
  <c r="M35" i="1"/>
  <c r="L35" i="1"/>
  <c r="K35" i="1"/>
  <c r="J5" i="1"/>
  <c r="M5" i="1"/>
  <c r="L5" i="1"/>
  <c r="K5" i="1"/>
  <c r="J12" i="1"/>
  <c r="M12" i="1"/>
  <c r="L12" i="1"/>
  <c r="K12" i="1"/>
  <c r="J16" i="1"/>
  <c r="M16" i="1"/>
  <c r="L16" i="1"/>
  <c r="K16" i="1"/>
  <c r="J20" i="1"/>
  <c r="M20" i="1"/>
  <c r="L20" i="1"/>
  <c r="K20" i="1"/>
  <c r="J24" i="1"/>
  <c r="L24" i="1"/>
  <c r="K24" i="1"/>
  <c r="M24" i="1"/>
  <c r="J41" i="1"/>
  <c r="M41" i="1"/>
  <c r="L41" i="1"/>
  <c r="K41" i="1"/>
  <c r="J45" i="1"/>
  <c r="M45" i="1"/>
  <c r="L45" i="1"/>
  <c r="K45" i="1"/>
  <c r="J49" i="1"/>
  <c r="M49" i="1"/>
  <c r="L49" i="1"/>
  <c r="K49" i="1"/>
  <c r="J30" i="1"/>
  <c r="J36" i="1"/>
  <c r="M36" i="1"/>
  <c r="L36" i="1"/>
  <c r="K36" i="1"/>
  <c r="J13" i="1"/>
  <c r="M13" i="1"/>
  <c r="L13" i="1"/>
  <c r="K13" i="1"/>
  <c r="J21" i="1"/>
  <c r="M21" i="1"/>
  <c r="L21" i="1"/>
  <c r="K21" i="1"/>
  <c r="J37" i="1"/>
  <c r="J11" i="1"/>
  <c r="J38" i="1"/>
  <c r="J46" i="1"/>
  <c r="J29" i="1"/>
  <c r="J14" i="1"/>
  <c r="J22" i="1"/>
  <c r="J43" i="1"/>
  <c r="J28" i="1"/>
  <c r="J6" i="1"/>
  <c r="P26" i="1"/>
  <c r="R31" i="1"/>
  <c r="P23" i="1"/>
  <c r="P27" i="1"/>
  <c r="P30" i="1"/>
  <c r="L23" i="1"/>
  <c r="L31" i="1"/>
  <c r="R11" i="1"/>
  <c r="P25" i="1"/>
  <c r="R7" i="1"/>
  <c r="R26" i="1"/>
  <c r="P31" i="1"/>
  <c r="R23" i="1"/>
  <c r="R27" i="1"/>
  <c r="R30" i="1"/>
  <c r="L26" i="1"/>
  <c r="L27" i="1"/>
  <c r="L30" i="1"/>
  <c r="R25" i="1"/>
  <c r="P7" i="1"/>
  <c r="T25" i="1" l="1"/>
  <c r="M30" i="1"/>
  <c r="M27" i="1"/>
  <c r="M26" i="1"/>
  <c r="T30" i="1"/>
  <c r="T27" i="1"/>
  <c r="T23" i="1"/>
  <c r="T26" i="1"/>
  <c r="T7" i="1"/>
  <c r="T11" i="1"/>
  <c r="M31" i="1"/>
  <c r="M23" i="1"/>
  <c r="T31" i="1"/>
  <c r="P11" i="1"/>
</calcChain>
</file>

<file path=xl/sharedStrings.xml><?xml version="1.0" encoding="utf-8"?>
<sst xmlns="http://schemas.openxmlformats.org/spreadsheetml/2006/main" count="79" uniqueCount="79">
  <si>
    <t>'SoundOff.exe' (Win32): Loaded 'C:\Users\DAVE\Documents\Programming\Visual_Studio_6\EXE\Console\SoundOff\Debug\SoundOff.exe'. Symbols loaded.</t>
  </si>
  <si>
    <t>Load Listy from Visual Studio Debugger</t>
  </si>
  <si>
    <t>Absolute Pathname</t>
  </si>
  <si>
    <t>Begin</t>
  </si>
  <si>
    <t>End</t>
  </si>
  <si>
    <t>'SoundOff.exe' (Win32): Loaded 'C:\Windows\SysWOW64\ntdll.dll'. Symbols loaded.</t>
  </si>
  <si>
    <t>'SoundOff.exe' (Win32): Loaded 'C:\Windows\SysWOW64\kernel32.dll'. Symbols loaded.</t>
  </si>
  <si>
    <t>'SoundOff.exe' (Win32): Loaded 'C:\Windows\SysWOW64\KernelBase.dll'. Symbols loaded.</t>
  </si>
  <si>
    <t>'SoundOff.exe' (Win32): Loaded 'C:\bin\WWSYMBOL\FixedStringBuffers.dll'. Cannot find or open the PDB file.</t>
  </si>
  <si>
    <t>'SoundOff.exe' (Win32): Loaded 'C:\bin\WWSYMBOL\ProcessInfo.dll'. Cannot find or open the PDB file.</t>
  </si>
  <si>
    <t>'SoundOff.exe' (Win32): Loaded 'C:\Windows\SysWOW64\shlwapi.dll'. Symbols loaded.</t>
  </si>
  <si>
    <t>'SoundOff.exe' (Win32): Loaded 'C:\Windows\SysWOW64\gdi32.dll'. Symbols loaded.</t>
  </si>
  <si>
    <t>'SoundOff.exe' (Win32): Loaded 'C:\Windows\SysWOW64\user32.dll'. Symbols loaded.</t>
  </si>
  <si>
    <t>'SoundOff.exe' (Win32): Loaded 'C:\Windows\SysWOW64\advapi32.dll'. Symbols loaded.</t>
  </si>
  <si>
    <t>'SoundOff.exe' (Win32): Loaded 'C:\Windows\SysWOW64\msvcrt.dll'. Symbols loaded.</t>
  </si>
  <si>
    <t>'SoundOff.exe' (Win32): Loaded 'C:\Windows\SysWOW64\sechost.dll'. Symbols loaded.</t>
  </si>
  <si>
    <t>'SoundOff.exe' (Win32): Loaded 'C:\Windows\SysWOW64\rpcrt4.dll'. Symbols loaded.</t>
  </si>
  <si>
    <t>'SoundOff.exe' (Win32): Loaded 'C:\Windows\SysWOW64\sspicli.dll'. Symbols loaded.</t>
  </si>
  <si>
    <t>'SoundOff.exe' (Win32): Loaded 'C:\Windows\SysWOW64\cryptbase.dll'. Symbols loaded.</t>
  </si>
  <si>
    <t>'SoundOff.exe' (Win32): Loaded 'C:\Windows\SysWOW64\lpk.dll'. Symbols loaded.</t>
  </si>
  <si>
    <t>'SoundOff.exe' (Win32): Loaded 'C:\Windows\SysWOW64\usp10.dll'. Symbols loaded.</t>
  </si>
  <si>
    <t>'SoundOff.exe' (Win32): Loaded 'C:\bin\WWSYMBOL\WWKernelLibWrapper.dll'. Cannot find or open the PDB file.</t>
  </si>
  <si>
    <t>'SoundOff.exe' (Win32): Loaded 'C:\Windows\SysWOW64\msvcr120d.dll'. Symbols loaded.</t>
  </si>
  <si>
    <t>'SoundOff.exe' (Win32): Loaded 'C:\bin\WWSYMBOL\P6VersionInfo32.dll'. Symbols loaded.</t>
  </si>
  <si>
    <t>'SoundOff.exe' (Win32): Loaded 'C:\bin\WWSYMBOL\P6CStringLib1.dll'. Symbols loaded.</t>
  </si>
  <si>
    <t>'SoundOff.exe' (Win32): Loaded 'C:\bin\SafeMemCpy.dll'. Module was built without symbols.</t>
  </si>
  <si>
    <t>'SoundOff.exe' (Win32): Loaded 'C:\Windows\SysWOW64\oleaut32.dll'. Symbols loaded.</t>
  </si>
  <si>
    <t>'SoundOff.exe' (Win32): Loaded 'C:\Windows\SysWOW64\ole32.dll'. Symbols loaded.</t>
  </si>
  <si>
    <t>'SoundOff.exe' (Win32): Loaded 'C:\bin\WWDatelib.dll'. Module was built without symbols.</t>
  </si>
  <si>
    <t>'SoundOff.exe' (Win32): Loaded 'C:\bin\WWSYMBOL\WWKernelLibWrapper32.dll'. Symbols loaded.</t>
  </si>
  <si>
    <t>'SoundOff.exe' (Win32): Loaded 'C:\Windows\SysWOW64\version.dll'. Symbols loaded.</t>
  </si>
  <si>
    <t>'SoundOff.exe' (Win32): Loaded 'C:\Windows\SysWOW64\winmm.dll'. Symbols loaded.</t>
  </si>
  <si>
    <t>'SoundOff.exe' (Win32): Loaded 'C:\Windows\SysWOW64\imm32.dll'. Symbols loaded.</t>
  </si>
  <si>
    <t>'SoundOff.exe' (Win32): Loaded 'C:\Windows\SysWOW64\msctf.dll'. Symbols loaded.</t>
  </si>
  <si>
    <t>'SoundOff.exe' (Win32): Loaded 'C:\Program Files\Prio\prio32.dll'. Cannot find or open the PDB file.</t>
  </si>
  <si>
    <t>'SoundOff.exe' (Win32): Loaded 'C:\Windows\SysWOW64\MMDevAPI.dll'. Symbols loaded.</t>
  </si>
  <si>
    <t>'SoundOff.exe' (Win32): Loaded 'C:\Windows\SysWOW64\propsys.dll'. Symbols loaded.</t>
  </si>
  <si>
    <t>'SoundOff.exe' (Win32): Loaded 'C:\Windows\SysWOW64\wdmaud.drv'. Symbols loaded.</t>
  </si>
  <si>
    <t>'SoundOff.exe' (Win32): Loaded 'C:\Windows\SysWOW64\ksuser.dll'. Symbols loaded.</t>
  </si>
  <si>
    <t>'SoundOff.exe' (Win32): Loaded 'C:\Windows\SysWOW64\avrt.dll'. Symbols loaded.</t>
  </si>
  <si>
    <t>'SoundOff.exe' (Win32): Loaded 'C:\Windows\SysWOW64\setupapi.dll'. Symbols loaded.</t>
  </si>
  <si>
    <t>'SoundOff.exe' (Win32): Loaded 'C:\Windows\SysWOW64\cfgmgr32.dll'. Symbols loaded.</t>
  </si>
  <si>
    <t>'SoundOff.exe' (Win32): Loaded 'C:\Windows\SysWOW64\devobj.dll'. Symbols loaded.</t>
  </si>
  <si>
    <t>'SoundOff.exe' (Win32): Loaded 'C:\Windows\SysWOW64\AudioSes.dll'. Symbols loaded.</t>
  </si>
  <si>
    <t>'SoundOff.exe' (Win32): Loaded 'C:\Windows\SysWOW64\msacm32.drv'. Symbols loaded.</t>
  </si>
  <si>
    <t>'SoundOff.exe' (Win32): Loaded 'C:\Windows\SysWOW64\msacm32.dll'. Symbols loaded.</t>
  </si>
  <si>
    <t>'SoundOff.exe' (Win32): Loaded 'C:\Windows\SysWOW64\midimap.dll'. Symbols loaded.</t>
  </si>
  <si>
    <t>'SoundOff.exe' (Win32): Loaded 'C:\Windows\SysWOW64\clbcatq.dll'. Symbols loaded.</t>
  </si>
  <si>
    <t>The thread 0x10a4 has exited with code 0 (0x0).</t>
  </si>
  <si>
    <t>The thread 0x10ac has exited with code 0 (0x0).</t>
  </si>
  <si>
    <t>The thread 0x1280 has exited with code 0 (0x0).</t>
  </si>
  <si>
    <t>The thread 0x1328 has exited with code 0 (0x0).</t>
  </si>
  <si>
    <t>The thread 0x128c has exited with code 0 (0x0).</t>
  </si>
  <si>
    <t>The program '[0xE5C] SoundOff.exe' has exited with code 0 (0x0).</t>
  </si>
  <si>
    <t>Load Directory</t>
  </si>
  <si>
    <t>Base File Name</t>
  </si>
  <si>
    <t>Type</t>
  </si>
  <si>
    <t>Mine</t>
  </si>
  <si>
    <t>Win32</t>
  </si>
  <si>
    <t>Other</t>
  </si>
  <si>
    <t>Debug</t>
  </si>
  <si>
    <t>Files Loaded into Address Space</t>
  </si>
  <si>
    <t>File Categories</t>
  </si>
  <si>
    <t>File Versions</t>
  </si>
  <si>
    <t>Retail</t>
  </si>
  <si>
    <t>Same</t>
  </si>
  <si>
    <t>Header</t>
  </si>
  <si>
    <t>Name</t>
  </si>
  <si>
    <t>Modified</t>
  </si>
  <si>
    <t>Liast History Item</t>
  </si>
  <si>
    <t>SafeMemCpy_WW.H</t>
  </si>
  <si>
    <t>Hyperlink</t>
  </si>
  <si>
    <t>Integrate function FormatLongInt_P6C under a new,  shortened name. This is a function about which I had all but forgotten, which was left in my old WWWILMuscle44i library, which is effectively deprecated, since I am no longer actively working with WinBatch, and haven't done anything new in that language for the last two years or so.</t>
  </si>
  <si>
    <t>1) Adjust the order in which headers are included to compensate for changes discovered in the way the Windows SDK headers are organized. These changes adversely affected my CPP flag tests. This change is entirely internal; no dependents need linking.</t>
  </si>
  <si>
    <t>2) Correct the behavior of LoadStringFromDLL when the requested string is not found.</t>
  </si>
  <si>
    <t>3) Replace the public FB_PVT_EXCEPTION_INFO structure with a private FB_PVT_EXCEPTION_INFO structure filled with copies of the memory blocks to which the two EXCEPTION_POINTERS structure point, followed by copies of the argument list and key local variables from the failing routine. To keep the structure private, the exception handler is implemented by a new routine, FB_SEH_Report, that parses the data into a report, returning the status code for use by the calling process.</t>
  </si>
  <si>
    <t>4) Implement a new function, FB_etUnicodeStringPointer that supports using null terminated string resources in situ.</t>
  </si>
  <si>
    <t>Absoulte Source File Name</t>
  </si>
  <si>
    <t>DateLib_P6C.H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</si>
</sst>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h:mm:ss"/>
  </numFmts>
  <fonts count="6" x14ac:knownFonts="1">
    <font>
      <sz val="11"/>
      <color theme="1"/>
      <name val="Consolas"/>
      <family val="2"/>
    </font>
    <font>
      <sz val="8"/>
      <color theme="1"/>
      <name val="Consolas"/>
      <family val="2"/>
    </font>
    <font>
      <sz val="11"/>
      <color theme="1"/>
      <name val="Tahoma"/>
      <family val="2"/>
    </font>
    <font>
      <b/>
      <sz val="14"/>
      <color rgb="FFFFC000"/>
      <name val="Tahoma"/>
      <family val="2"/>
    </font>
    <font>
      <b/>
      <sz val="18"/>
      <color rgb="FFFFFF00"/>
      <name val="Tahoma"/>
      <family val="2"/>
    </font>
    <font>
      <u/>
      <sz val="11"/>
      <color rgb="FF000099"/>
      <name val="Tahoma"/>
      <family val="2"/>
    </font>
  </fonts>
  <fills count="3">
    <fill>
      <patternFill patternType="none"/>
    </fill>
    <fill>
      <patternFill patternType="gray125"/>
    </fill>
    <fill>
      <patternFill patternType="solid">
        <fgColor rgb="FF002060"/>
        <bgColor indexed="64"/>
      </patternFill>
    </fill>
  </fills>
  <borders count="9">
    <border>
      <left/>
      <right/>
      <top/>
      <bottom/>
      <diagonal/>
    </border>
    <border>
      <left style="thin">
        <color rgb="FF002060"/>
      </left>
      <right style="thin">
        <color rgb="FF002060"/>
      </right>
      <top style="thin">
        <color rgb="FF002060"/>
      </top>
      <bottom style="thin">
        <color rgb="FF002060"/>
      </bottom>
      <diagonal/>
    </border>
    <border>
      <left style="thin">
        <color rgb="FFFFC000"/>
      </left>
      <right style="thin">
        <color rgb="FFFFC000"/>
      </right>
      <top style="thin">
        <color rgb="FFFFC000"/>
      </top>
      <bottom/>
      <diagonal/>
    </border>
    <border>
      <left style="thin">
        <color rgb="FFFFC000"/>
      </left>
      <right/>
      <top style="thin">
        <color rgb="FFFFC000"/>
      </top>
      <bottom style="thin">
        <color rgb="FFFFC000"/>
      </bottom>
      <diagonal/>
    </border>
    <border>
      <left/>
      <right/>
      <top style="thin">
        <color rgb="FFFFC000"/>
      </top>
      <bottom style="thin">
        <color rgb="FFFFC000"/>
      </bottom>
      <diagonal/>
    </border>
    <border>
      <left/>
      <right style="thin">
        <color rgb="FFFFC000"/>
      </right>
      <top style="thin">
        <color rgb="FFFFC000"/>
      </top>
      <bottom style="thin">
        <color rgb="FFFFC000"/>
      </bottom>
      <diagonal/>
    </border>
    <border>
      <left style="thin">
        <color rgb="FF002060"/>
      </left>
      <right style="thin">
        <color rgb="FF002060"/>
      </right>
      <top style="thin">
        <color rgb="FF002060"/>
      </top>
      <bottom/>
      <diagonal/>
    </border>
    <border>
      <left style="thin">
        <color rgb="FF002060"/>
      </left>
      <right style="thin">
        <color rgb="FF002060"/>
      </right>
      <top/>
      <bottom/>
      <diagonal/>
    </border>
    <border>
      <left style="thin">
        <color rgb="FF002060"/>
      </left>
      <right style="thin">
        <color rgb="FF002060"/>
      </right>
      <top/>
      <bottom style="thin">
        <color rgb="FF002060"/>
      </bottom>
      <diagonal/>
    </border>
  </borders>
  <cellStyleXfs count="1">
    <xf numFmtId="0" fontId="0" fillId="0" borderId="0"/>
  </cellStyleXfs>
  <cellXfs count="27">
    <xf numFmtId="0" fontId="0" fillId="0" borderId="0" xfId="0"/>
    <xf numFmtId="0" fontId="1" fillId="0" borderId="1" xfId="0" applyFont="1" applyBorder="1" applyAlignment="1">
      <alignment vertical="top"/>
    </xf>
    <xf numFmtId="0" fontId="0" fillId="0" borderId="1" xfId="0" applyBorder="1" applyAlignment="1">
      <alignment vertical="top"/>
    </xf>
    <xf numFmtId="0" fontId="5" fillId="0" borderId="1" xfId="0" applyFont="1" applyBorder="1" applyAlignment="1">
      <alignment vertical="top"/>
    </xf>
    <xf numFmtId="164" fontId="0" fillId="0" borderId="1" xfId="0" applyNumberFormat="1" applyBorder="1" applyAlignment="1">
      <alignment vertical="top"/>
    </xf>
    <xf numFmtId="0" fontId="2" fillId="0" borderId="1" xfId="0" applyFont="1" applyBorder="1" applyAlignment="1">
      <alignment vertical="top" wrapText="1"/>
    </xf>
    <xf numFmtId="0" fontId="4" fillId="2" borderId="2" xfId="0" applyFont="1" applyFill="1" applyBorder="1" applyAlignment="1">
      <alignment vertical="top"/>
    </xf>
    <xf numFmtId="0" fontId="4" fillId="2" borderId="3" xfId="0" applyFont="1" applyFill="1" applyBorder="1" applyAlignment="1">
      <alignment vertical="top"/>
    </xf>
    <xf numFmtId="0" fontId="3" fillId="2" borderId="2" xfId="0" applyFont="1" applyFill="1" applyBorder="1" applyAlignment="1">
      <alignment vertical="top"/>
    </xf>
    <xf numFmtId="0" fontId="2" fillId="0" borderId="1" xfId="0" applyFont="1" applyBorder="1" applyAlignment="1">
      <alignment vertical="top"/>
    </xf>
    <xf numFmtId="0" fontId="1" fillId="0" borderId="0" xfId="0" applyFont="1" applyAlignment="1">
      <alignment vertical="top"/>
    </xf>
    <xf numFmtId="0" fontId="0" fillId="0" borderId="0" xfId="0" applyAlignment="1">
      <alignment vertical="top"/>
    </xf>
    <xf numFmtId="0" fontId="0" fillId="0" borderId="6" xfId="0" applyBorder="1" applyAlignment="1">
      <alignment vertical="top"/>
    </xf>
    <xf numFmtId="0" fontId="0" fillId="0" borderId="7" xfId="0" applyBorder="1" applyAlignment="1">
      <alignment vertical="top"/>
    </xf>
    <xf numFmtId="0" fontId="0" fillId="0" borderId="8" xfId="0" applyBorder="1" applyAlignment="1">
      <alignment vertical="top"/>
    </xf>
    <xf numFmtId="0" fontId="5" fillId="0" borderId="6" xfId="0" applyFont="1" applyBorder="1" applyAlignment="1">
      <alignment vertical="top"/>
    </xf>
    <xf numFmtId="0" fontId="5" fillId="0" borderId="7" xfId="0" applyFont="1" applyBorder="1" applyAlignment="1">
      <alignment vertical="top"/>
    </xf>
    <xf numFmtId="0" fontId="5" fillId="0" borderId="8" xfId="0" applyFont="1" applyBorder="1" applyAlignment="1">
      <alignment vertical="top"/>
    </xf>
    <xf numFmtId="164" fontId="0" fillId="0" borderId="6" xfId="0" applyNumberFormat="1" applyBorder="1" applyAlignment="1">
      <alignment vertical="top"/>
    </xf>
    <xf numFmtId="164" fontId="0" fillId="0" borderId="7" xfId="0" applyNumberFormat="1" applyBorder="1" applyAlignment="1">
      <alignment vertical="top"/>
    </xf>
    <xf numFmtId="164" fontId="0" fillId="0" borderId="8" xfId="0" applyNumberFormat="1" applyBorder="1" applyAlignment="1">
      <alignment vertical="top"/>
    </xf>
    <xf numFmtId="0" fontId="4" fillId="2" borderId="3" xfId="0" applyFont="1" applyFill="1" applyBorder="1" applyAlignment="1">
      <alignment horizontal="center" vertical="top"/>
    </xf>
    <xf numFmtId="0" fontId="4" fillId="2" borderId="4" xfId="0" applyFont="1" applyFill="1" applyBorder="1" applyAlignment="1">
      <alignment horizontal="center" vertical="top"/>
    </xf>
    <xf numFmtId="0" fontId="4" fillId="2" borderId="5" xfId="0" applyFont="1" applyFill="1" applyBorder="1" applyAlignment="1">
      <alignment horizontal="center" vertical="top"/>
    </xf>
    <xf numFmtId="0" fontId="1" fillId="0" borderId="6" xfId="0" applyFont="1" applyBorder="1" applyAlignment="1">
      <alignment vertical="top"/>
    </xf>
    <xf numFmtId="0" fontId="1" fillId="0" borderId="7" xfId="0" applyFont="1" applyBorder="1" applyAlignment="1">
      <alignment vertical="top"/>
    </xf>
    <xf numFmtId="0" fontId="1" fillId="0" borderId="8" xfId="0" applyFont="1" applyBorder="1" applyAlignment="1">
      <alignment vertical="top"/>
    </xf>
  </cellXfs>
  <cellStyles count="1">
    <cellStyle name="Normal" xfId="0" builtinId="0"/>
  </cellStyles>
  <dxfs count="36">
    <dxf>
      <fill>
        <patternFill>
          <bgColor rgb="FFFFFF00"/>
        </patternFill>
      </fill>
    </dxf>
    <dxf>
      <fill>
        <patternFill>
          <bgColor theme="5" tint="0.79998168889431442"/>
        </patternFill>
      </fill>
    </dxf>
    <dxf>
      <fill>
        <patternFill>
          <bgColor rgb="FFFFFF00"/>
        </patternFill>
      </fill>
    </dxf>
    <dxf>
      <fill>
        <patternFill>
          <bgColor theme="5" tint="0.79998168889431442"/>
        </patternFill>
      </fill>
    </dxf>
    <dxf>
      <fill>
        <patternFill>
          <bgColor rgb="FFFFFF00"/>
        </patternFill>
      </fill>
    </dxf>
    <dxf>
      <fill>
        <patternFill>
          <bgColor theme="5" tint="0.79998168889431442"/>
        </patternFill>
      </fill>
    </dxf>
    <dxf>
      <fill>
        <patternFill>
          <bgColor rgb="FFFFFF00"/>
        </patternFill>
      </fill>
    </dxf>
    <dxf>
      <fill>
        <patternFill>
          <bgColor theme="5" tint="0.79998168889431442"/>
        </patternFill>
      </fill>
    </dxf>
    <dxf>
      <fill>
        <patternFill>
          <bgColor rgb="FFFFFF00"/>
        </patternFill>
      </fill>
    </dxf>
    <dxf>
      <fill>
        <patternFill>
          <bgColor rgb="FFFFFF00"/>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5" tint="0.79998168889431442"/>
        </patternFill>
      </fill>
    </dxf>
    <dxf>
      <fill>
        <patternFill>
          <bgColor rgb="FFFFFF00"/>
        </patternFill>
      </fill>
    </dxf>
    <dxf>
      <fill>
        <patternFill>
          <bgColor theme="5" tint="0.79998168889431442"/>
        </patternFill>
      </fill>
    </dxf>
    <dxf>
      <fill>
        <patternFill>
          <bgColor rgb="FFFFFF00"/>
        </patternFill>
      </fill>
    </dxf>
    <dxf>
      <fill>
        <patternFill>
          <bgColor theme="5" tint="0.79998168889431442"/>
        </patternFill>
      </fill>
    </dxf>
    <dxf>
      <fill>
        <patternFill>
          <bgColor rgb="FFFFFF00"/>
        </patternFill>
      </fill>
    </dxf>
    <dxf>
      <fill>
        <patternFill>
          <bgColor theme="5" tint="0.79998168889431442"/>
        </patternFill>
      </fill>
    </dxf>
    <dxf>
      <fill>
        <patternFill>
          <bgColor rgb="FFFFFF00"/>
        </patternFill>
      </fill>
    </dxf>
    <dxf>
      <fill>
        <patternFill>
          <bgColor theme="5" tint="0.79998168889431442"/>
        </patternFill>
      </fill>
    </dxf>
    <dxf>
      <fill>
        <patternFill>
          <bgColor rgb="FFFFFF00"/>
        </patternFill>
      </fill>
    </dxf>
    <dxf>
      <fill>
        <patternFill>
          <bgColor theme="5" tint="0.79998168889431442"/>
        </patternFill>
      </fill>
    </dxf>
    <dxf>
      <fill>
        <patternFill>
          <bgColor rgb="FFFFFF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FF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n/Excel_AddIns/P6CXLSLib3.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StringTests True-False Samples"/>
      <sheetName val="Other Samples"/>
      <sheetName val="VER_STRING_NAME_P6C"/>
    </sheetNames>
    <definedNames>
      <definedName name="AddBackslash"/>
      <definedName name="dtmFileDateInfo"/>
      <definedName name="GetExtension"/>
      <definedName name="GetFile"/>
      <definedName name="GetFolder"/>
      <definedName name="GetVersionInfo_WW"/>
      <definedName name="QuoteSpaces"/>
      <definedName name="UnquoteSpaces"/>
    </defined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5"/>
  <sheetViews>
    <sheetView tabSelected="1" topLeftCell="D1" workbookViewId="0">
      <pane xSplit="1" ySplit="2" topLeftCell="O19" activePane="bottomRight" state="frozen"/>
      <selection activeCell="D1" sqref="D1"/>
      <selection pane="topRight" activeCell="E1" sqref="E1"/>
      <selection pane="bottomLeft" activeCell="D2" sqref="D2"/>
      <selection pane="bottomRight" activeCell="O40" sqref="O40"/>
    </sheetView>
  </sheetViews>
  <sheetFormatPr defaultRowHeight="15" x14ac:dyDescent="0.25"/>
  <cols>
    <col min="1" max="1" width="109.625" bestFit="1" customWidth="1"/>
    <col min="2" max="2" width="7.875" hidden="1" customWidth="1"/>
    <col min="3" max="3" width="5.625" hidden="1" customWidth="1"/>
    <col min="4" max="4" width="71" bestFit="1" customWidth="1"/>
    <col min="5" max="5" width="60.875" bestFit="1" customWidth="1"/>
    <col min="6" max="6" width="25.375" bestFit="1" customWidth="1"/>
    <col min="7" max="8" width="6.875" bestFit="1" customWidth="1"/>
    <col min="11" max="12" width="13" bestFit="1" customWidth="1"/>
    <col min="14" max="14" width="25.375" bestFit="1" customWidth="1"/>
    <col min="15" max="15" width="20.625" bestFit="1" customWidth="1"/>
    <col min="16" max="16" width="20.125" bestFit="1" customWidth="1"/>
    <col min="17" max="17" width="50.625" customWidth="1"/>
    <col min="18" max="18" width="33.875" bestFit="1" customWidth="1"/>
    <col min="19" max="19" width="115.5" bestFit="1" customWidth="1"/>
    <col min="20" max="20" width="156.25" bestFit="1" customWidth="1"/>
  </cols>
  <sheetData>
    <row r="1" spans="1:20" ht="22.5" x14ac:dyDescent="0.25">
      <c r="A1" s="6"/>
      <c r="B1" s="6"/>
      <c r="C1" s="6"/>
      <c r="D1" s="21" t="s">
        <v>61</v>
      </c>
      <c r="E1" s="22"/>
      <c r="F1" s="23"/>
      <c r="G1" s="21" t="s">
        <v>62</v>
      </c>
      <c r="H1" s="22"/>
      <c r="I1" s="22"/>
      <c r="J1" s="23"/>
      <c r="K1" s="21" t="s">
        <v>63</v>
      </c>
      <c r="L1" s="22"/>
      <c r="M1" s="23"/>
      <c r="N1" s="7" t="s">
        <v>66</v>
      </c>
      <c r="O1" s="7"/>
      <c r="P1" s="7"/>
      <c r="Q1" s="7"/>
      <c r="R1" s="7"/>
      <c r="S1" s="7"/>
      <c r="T1" s="7"/>
    </row>
    <row r="2" spans="1:20" ht="18" x14ac:dyDescent="0.25">
      <c r="A2" s="8" t="s">
        <v>1</v>
      </c>
      <c r="B2" s="8" t="s">
        <v>3</v>
      </c>
      <c r="C2" s="8" t="s">
        <v>4</v>
      </c>
      <c r="D2" s="8" t="s">
        <v>2</v>
      </c>
      <c r="E2" s="8" t="s">
        <v>54</v>
      </c>
      <c r="F2" s="8" t="s">
        <v>55</v>
      </c>
      <c r="G2" s="8" t="s">
        <v>56</v>
      </c>
      <c r="H2" s="8" t="s">
        <v>57</v>
      </c>
      <c r="I2" s="8" t="s">
        <v>58</v>
      </c>
      <c r="J2" s="8" t="s">
        <v>59</v>
      </c>
      <c r="K2" s="8" t="s">
        <v>60</v>
      </c>
      <c r="L2" s="8" t="s">
        <v>64</v>
      </c>
      <c r="M2" s="8" t="s">
        <v>65</v>
      </c>
      <c r="N2" s="8" t="s">
        <v>67</v>
      </c>
      <c r="O2" s="8" t="s">
        <v>71</v>
      </c>
      <c r="P2" s="8" t="s">
        <v>68</v>
      </c>
      <c r="Q2" s="8" t="s">
        <v>69</v>
      </c>
      <c r="R2" s="8" t="s">
        <v>77</v>
      </c>
      <c r="S2" s="8" t="str">
        <f>[1]!QuoteSpaces([1]!AddBackslash([1]!UnquoteSpaces(OutputDirectoryname_Debug)))</f>
        <v>C:\Users\DAVE\Documents\Programming\Visual_Studio_6\EXE\Console\SoundOff\Debug\</v>
      </c>
      <c r="T2" s="8"/>
    </row>
    <row r="3" spans="1:20" x14ac:dyDescent="0.25">
      <c r="A3" s="1" t="s">
        <v>0</v>
      </c>
      <c r="B3" s="1">
        <f>FIND(Loaded_Begin_Marker,$A3)+LEN(Loaded_Begin_Marker)</f>
        <v>33</v>
      </c>
      <c r="C3" s="1">
        <f>FIND(Loaded_End_Marker,$A3)</f>
        <v>124</v>
      </c>
      <c r="D3" s="1" t="str">
        <f>MID(A3,B3,C3-B3)</f>
        <v>C:\Users\DAVE\Documents\Programming\Visual_Studio_6\EXE\Console\SoundOff\Debug\SoundOff.exe</v>
      </c>
      <c r="E3" s="1" t="str">
        <f>[1]!GetFolder(D3)</f>
        <v>C:\Users\DAVE\Documents\Programming\Visual_Studio_6\EXE\Console\SoundOff\Debug</v>
      </c>
      <c r="F3" s="2" t="str">
        <f>[1]!GetFile(D3)</f>
        <v>SoundOff.exe</v>
      </c>
      <c r="G3" s="2" t="str">
        <f>UPPER(RIGHT([1]!GetExtension(D3),LEN([1]!GetExtension(D3))-1))</f>
        <v>EXE</v>
      </c>
      <c r="H3" s="2" t="b">
        <f>OR(E3=WWSYMBOL,E3=WWBin)</f>
        <v>0</v>
      </c>
      <c r="I3" s="2" t="b">
        <f>E3=Win32_Subsystem</f>
        <v>0</v>
      </c>
      <c r="J3" s="2" t="b">
        <f>AND(G3&lt;&gt;"EXE",NOT(H3),NOT(I3))</f>
        <v>0</v>
      </c>
      <c r="K3" s="2" t="str">
        <f>IF(H3,[1]!GetVersionInfo_WW(D3,3),"")</f>
        <v/>
      </c>
      <c r="L3" s="2" t="str">
        <f>IF(H3,[1]!GetVersionInfo_WW(CONCATENATE([1]!AddBackslash(WWBin),F3),3),"")</f>
        <v/>
      </c>
      <c r="M3" s="2" t="str">
        <f>IF(H3,K3=L3,"")</f>
        <v/>
      </c>
      <c r="N3" s="2" t="str">
        <f>IF(H3,SUBSTITUTE(SUBSTITUTE(F3,LOWER(G3),"H"),"32",""),"")</f>
        <v/>
      </c>
      <c r="O3" s="3" t="str">
        <f>IF(H3,HYPERLINK(CONCATENATE(WWInclude,N3),N3),"")</f>
        <v/>
      </c>
      <c r="P3" s="4" t="str">
        <f>IF(H3,[1]!dtmFileDateInfo(CONCATENATE(WWInclude,N3)),"")</f>
        <v/>
      </c>
      <c r="Q3" s="9"/>
      <c r="R3" s="2" t="str">
        <f>IF(H3,CONCATENATE([1]!AddBackslash(WWBin),F3),"")</f>
        <v/>
      </c>
      <c r="S3" s="2" t="str">
        <f>IF(H3,CONCATENATE(S$2,F3),"")</f>
        <v/>
      </c>
      <c r="T3" s="2" t="str">
        <f>IF(H3,CONCATENATE("call XCopyF.CMD ",R3,CHAR(32),S3),"")</f>
        <v/>
      </c>
    </row>
    <row r="4" spans="1:20" x14ac:dyDescent="0.25">
      <c r="A4" s="1" t="s">
        <v>5</v>
      </c>
      <c r="B4" s="1">
        <f>FIND(Loaded_Begin_Marker,$A4)+LEN(Loaded_Begin_Marker)</f>
        <v>33</v>
      </c>
      <c r="C4" s="1">
        <f t="shared" ref="C4:C49" si="0">FIND(Loaded_End_Marker,$A4)</f>
        <v>62</v>
      </c>
      <c r="D4" s="1" t="str">
        <f t="shared" ref="D4:D24" si="1">MID(A4,B4,C4-B4)</f>
        <v>C:\Windows\SysWOW64\ntdll.dll</v>
      </c>
      <c r="E4" s="1" t="str">
        <f>[1]!GetFolder(D4)</f>
        <v>C:\Windows\SysWOW64</v>
      </c>
      <c r="F4" s="2" t="str">
        <f>[1]!GetFile(D4)</f>
        <v>ntdll.dll</v>
      </c>
      <c r="G4" s="2" t="str">
        <f>UPPER(RIGHT([1]!GetExtension(D4),LEN([1]!GetExtension(D4))-1))</f>
        <v>DLL</v>
      </c>
      <c r="H4" s="2" t="b">
        <f>OR(E4=WWSYMBOL,E4=WWBin)</f>
        <v>0</v>
      </c>
      <c r="I4" s="2" t="b">
        <f t="shared" ref="I4:I49" si="2">E4=Win32_Subsystem</f>
        <v>1</v>
      </c>
      <c r="J4" s="2" t="b">
        <f t="shared" ref="J4:J49" si="3">AND(G4&lt;&gt;"EXE",NOT(H4),NOT(I4))</f>
        <v>0</v>
      </c>
      <c r="K4" s="2" t="str">
        <f>IF(H4,[1]!GetVersionInfo_WW(D4,3),"")</f>
        <v/>
      </c>
      <c r="L4" s="2" t="str">
        <f>IF(H4,[1]!GetVersionInfo_WW(CONCATENATE([1]!AddBackslash(WWBin),F4),3),"")</f>
        <v/>
      </c>
      <c r="M4" s="2" t="str">
        <f t="shared" ref="M4:M49" si="4">IF(H4,K4=L4,"")</f>
        <v/>
      </c>
      <c r="N4" s="2" t="str">
        <f t="shared" ref="N4:N49" si="5">IF(H4,SUBSTITUTE(SUBSTITUTE(F4,LOWER(G4),"H"),"32",""),"")</f>
        <v/>
      </c>
      <c r="O4" s="3" t="str">
        <f t="shared" ref="O4:O49" si="6">IF(H4,HYPERLINK(CONCATENATE(WWInclude,N4),N4),"")</f>
        <v/>
      </c>
      <c r="P4" s="4" t="str">
        <f>IF(H4,[1]!dtmFileDateInfo(CONCATENATE(WWInclude,N4)),"")</f>
        <v/>
      </c>
      <c r="Q4" s="9"/>
      <c r="R4" s="2" t="str">
        <f>IF(H4,CONCATENATE([1]!AddBackslash(WWBin),F4),"")</f>
        <v/>
      </c>
      <c r="S4" s="2" t="str">
        <f t="shared" ref="S4:S49" si="7">IF(H4,CONCATENATE(S$2,F4),"")</f>
        <v/>
      </c>
      <c r="T4" s="2" t="str">
        <f t="shared" ref="T4:T49" si="8">IF(H4,CONCATENATE("call XCopyF.CMD ",R4,CHAR(32),S4),"")</f>
        <v/>
      </c>
    </row>
    <row r="5" spans="1:20" x14ac:dyDescent="0.25">
      <c r="A5" s="1" t="s">
        <v>6</v>
      </c>
      <c r="B5" s="1">
        <f>FIND(Loaded_Begin_Marker,$A5)+LEN(Loaded_Begin_Marker)</f>
        <v>33</v>
      </c>
      <c r="C5" s="1">
        <f t="shared" si="0"/>
        <v>65</v>
      </c>
      <c r="D5" s="1" t="str">
        <f t="shared" si="1"/>
        <v>C:\Windows\SysWOW64\kernel32.dll</v>
      </c>
      <c r="E5" s="1" t="str">
        <f>[1]!GetFolder(D5)</f>
        <v>C:\Windows\SysWOW64</v>
      </c>
      <c r="F5" s="2" t="str">
        <f>[1]!GetFile(D5)</f>
        <v>kernel32.dll</v>
      </c>
      <c r="G5" s="2" t="str">
        <f>UPPER(RIGHT([1]!GetExtension(D5),LEN([1]!GetExtension(D5))-1))</f>
        <v>DLL</v>
      </c>
      <c r="H5" s="2" t="b">
        <f>OR(E5=WWSYMBOL,E5=WWBin)</f>
        <v>0</v>
      </c>
      <c r="I5" s="2" t="b">
        <f t="shared" si="2"/>
        <v>1</v>
      </c>
      <c r="J5" s="2" t="b">
        <f t="shared" si="3"/>
        <v>0</v>
      </c>
      <c r="K5" s="2" t="str">
        <f>IF(H5,[1]!GetVersionInfo_WW(D5,3),"")</f>
        <v/>
      </c>
      <c r="L5" s="2" t="str">
        <f>IF(H5,[1]!GetVersionInfo_WW(CONCATENATE([1]!AddBackslash(WWBin),F5),3),"")</f>
        <v/>
      </c>
      <c r="M5" s="2" t="str">
        <f t="shared" si="4"/>
        <v/>
      </c>
      <c r="N5" s="2" t="str">
        <f t="shared" si="5"/>
        <v/>
      </c>
      <c r="O5" s="3" t="str">
        <f t="shared" si="6"/>
        <v/>
      </c>
      <c r="P5" s="4" t="str">
        <f>IF(H5,[1]!dtmFileDateInfo(CONCATENATE(WWInclude,N5)),"")</f>
        <v/>
      </c>
      <c r="Q5" s="9"/>
      <c r="R5" s="2" t="str">
        <f>IF(H5,CONCATENATE([1]!AddBackslash(WWBin),F5),"")</f>
        <v/>
      </c>
      <c r="S5" s="2" t="str">
        <f t="shared" si="7"/>
        <v/>
      </c>
      <c r="T5" s="2" t="str">
        <f t="shared" si="8"/>
        <v/>
      </c>
    </row>
    <row r="6" spans="1:20" x14ac:dyDescent="0.25">
      <c r="A6" s="1" t="s">
        <v>7</v>
      </c>
      <c r="B6" s="1">
        <f>FIND(Loaded_Begin_Marker,$A6)+LEN(Loaded_Begin_Marker)</f>
        <v>33</v>
      </c>
      <c r="C6" s="1">
        <f t="shared" si="0"/>
        <v>67</v>
      </c>
      <c r="D6" s="1" t="str">
        <f t="shared" si="1"/>
        <v>C:\Windows\SysWOW64\KernelBase.dll</v>
      </c>
      <c r="E6" s="1" t="str">
        <f>[1]!GetFolder(D6)</f>
        <v>C:\Windows\SysWOW64</v>
      </c>
      <c r="F6" s="2" t="str">
        <f>[1]!GetFile(D6)</f>
        <v>KernelBase.dll</v>
      </c>
      <c r="G6" s="2" t="str">
        <f>UPPER(RIGHT([1]!GetExtension(D6),LEN([1]!GetExtension(D6))-1))</f>
        <v>DLL</v>
      </c>
      <c r="H6" s="2" t="b">
        <f>OR(E6=WWSYMBOL,E6=WWBin)</f>
        <v>0</v>
      </c>
      <c r="I6" s="2" t="b">
        <f t="shared" si="2"/>
        <v>1</v>
      </c>
      <c r="J6" s="2" t="b">
        <f t="shared" si="3"/>
        <v>0</v>
      </c>
      <c r="K6" s="2" t="str">
        <f>IF(H6,[1]!GetVersionInfo_WW(D6,3),"")</f>
        <v/>
      </c>
      <c r="L6" s="2" t="str">
        <f>IF(H6,[1]!GetVersionInfo_WW(CONCATENATE([1]!AddBackslash(WWBin),F6),3),"")</f>
        <v/>
      </c>
      <c r="M6" s="2" t="str">
        <f t="shared" si="4"/>
        <v/>
      </c>
      <c r="N6" s="2" t="str">
        <f t="shared" si="5"/>
        <v/>
      </c>
      <c r="O6" s="3" t="str">
        <f t="shared" si="6"/>
        <v/>
      </c>
      <c r="P6" s="4" t="str">
        <f>IF(H6,[1]!dtmFileDateInfo(CONCATENATE(WWInclude,N6)),"")</f>
        <v/>
      </c>
      <c r="Q6" s="9"/>
      <c r="R6" s="2" t="str">
        <f>IF(H6,CONCATENATE([1]!AddBackslash(WWBin),F6),"")</f>
        <v/>
      </c>
      <c r="S6" s="2" t="str">
        <f t="shared" si="7"/>
        <v/>
      </c>
      <c r="T6" s="2" t="str">
        <f t="shared" si="8"/>
        <v/>
      </c>
    </row>
    <row r="7" spans="1:20" ht="71.25" x14ac:dyDescent="0.25">
      <c r="A7" s="24" t="s">
        <v>8</v>
      </c>
      <c r="B7" s="24">
        <f>FIND(Loaded_Begin_Marker,$A7)+LEN(Loaded_Begin_Marker)</f>
        <v>33</v>
      </c>
      <c r="C7" s="24">
        <f t="shared" si="0"/>
        <v>71</v>
      </c>
      <c r="D7" s="24" t="str">
        <f t="shared" si="1"/>
        <v>C:\bin\WWSYMBOL\FixedStringBuffers.dll</v>
      </c>
      <c r="E7" s="24" t="str">
        <f>[1]!GetFolder(D7)</f>
        <v>C:\bin\WWSYMBOL</v>
      </c>
      <c r="F7" s="12" t="str">
        <f>[1]!GetFile(D7)</f>
        <v>FixedStringBuffers.dll</v>
      </c>
      <c r="G7" s="12" t="str">
        <f>UPPER(RIGHT([1]!GetExtension(D7),LEN([1]!GetExtension(D7))-1))</f>
        <v>DLL</v>
      </c>
      <c r="H7" s="12" t="b">
        <f>OR(E7=WWSYMBOL,E7=WWBin)</f>
        <v>1</v>
      </c>
      <c r="I7" s="12" t="b">
        <f t="shared" si="2"/>
        <v>0</v>
      </c>
      <c r="J7" s="12" t="b">
        <f t="shared" si="3"/>
        <v>0</v>
      </c>
      <c r="K7" s="12" t="str">
        <f>IF(H7,[1]!GetVersionInfo_WW(D7,3),"")</f>
        <v>1.8.0.2</v>
      </c>
      <c r="L7" s="12" t="str">
        <f>IF(H7,[1]!GetVersionInfo_WW(CONCATENATE([1]!AddBackslash(WWBin),F7),3),"")</f>
        <v>1.8.0.1</v>
      </c>
      <c r="M7" s="12" t="b">
        <f t="shared" si="4"/>
        <v>0</v>
      </c>
      <c r="N7" s="12" t="str">
        <f t="shared" si="5"/>
        <v>FixedStringBuffers.H</v>
      </c>
      <c r="O7" s="15" t="str">
        <f t="shared" si="6"/>
        <v>FixedStringBuffers.H</v>
      </c>
      <c r="P7" s="18">
        <f>IF(H7,[1]!dtmFileDateInfo(CONCATENATE(WWInclude,N7)),"")</f>
        <v>42770.073368055557</v>
      </c>
      <c r="Q7" s="5" t="s">
        <v>73</v>
      </c>
      <c r="R7" s="12" t="str">
        <f>IF(H7,CONCATENATE([1]!AddBackslash(WWBin),F7),"")</f>
        <v>C:\bin\FixedStringBuffers.dll</v>
      </c>
      <c r="S7" s="2" t="str">
        <f t="shared" si="7"/>
        <v>C:\Users\DAVE\Documents\Programming\Visual_Studio_6\EXE\Console\SoundOff\Debug\FixedStringBuffers.dll</v>
      </c>
      <c r="T7" s="2" t="str">
        <f t="shared" si="8"/>
        <v>call XCopyF.CMD C:\bin\FixedStringBuffers.dll C:\Users\DAVE\Documents\Programming\Visual_Studio_6\EXE\Console\SoundOff\Debug\FixedStringBuffers.dll</v>
      </c>
    </row>
    <row r="8" spans="1:20" ht="28.5" x14ac:dyDescent="0.25">
      <c r="A8" s="25"/>
      <c r="B8" s="25"/>
      <c r="C8" s="25"/>
      <c r="D8" s="25"/>
      <c r="E8" s="25"/>
      <c r="F8" s="13"/>
      <c r="G8" s="13"/>
      <c r="H8" s="13"/>
      <c r="I8" s="13"/>
      <c r="J8" s="13"/>
      <c r="K8" s="13"/>
      <c r="L8" s="13"/>
      <c r="M8" s="13"/>
      <c r="N8" s="13"/>
      <c r="O8" s="16"/>
      <c r="P8" s="19"/>
      <c r="Q8" s="5" t="s">
        <v>74</v>
      </c>
      <c r="R8" s="13" t="str">
        <f>IF(H8,CONCATENATE([1]!AddBackslash(WWBin),F8),"")</f>
        <v/>
      </c>
      <c r="S8" s="2" t="str">
        <f t="shared" si="7"/>
        <v/>
      </c>
      <c r="T8" s="2" t="str">
        <f t="shared" si="8"/>
        <v/>
      </c>
    </row>
    <row r="9" spans="1:20" ht="128.25" x14ac:dyDescent="0.25">
      <c r="A9" s="25"/>
      <c r="B9" s="25"/>
      <c r="C9" s="25"/>
      <c r="D9" s="25"/>
      <c r="E9" s="25"/>
      <c r="F9" s="13"/>
      <c r="G9" s="13"/>
      <c r="H9" s="13"/>
      <c r="I9" s="13"/>
      <c r="J9" s="13"/>
      <c r="K9" s="13"/>
      <c r="L9" s="13"/>
      <c r="M9" s="13"/>
      <c r="N9" s="13"/>
      <c r="O9" s="16"/>
      <c r="P9" s="19"/>
      <c r="Q9" s="5" t="s">
        <v>75</v>
      </c>
      <c r="R9" s="13" t="str">
        <f>IF(H9,CONCATENATE([1]!AddBackslash(WWBin),F9),"")</f>
        <v/>
      </c>
      <c r="S9" s="2" t="str">
        <f t="shared" si="7"/>
        <v/>
      </c>
      <c r="T9" s="2" t="str">
        <f t="shared" si="8"/>
        <v/>
      </c>
    </row>
    <row r="10" spans="1:20" ht="28.5" x14ac:dyDescent="0.25">
      <c r="A10" s="26"/>
      <c r="B10" s="26"/>
      <c r="C10" s="26"/>
      <c r="D10" s="26"/>
      <c r="E10" s="26"/>
      <c r="F10" s="14"/>
      <c r="G10" s="14"/>
      <c r="H10" s="14"/>
      <c r="I10" s="14"/>
      <c r="J10" s="14"/>
      <c r="K10" s="14"/>
      <c r="L10" s="14"/>
      <c r="M10" s="14"/>
      <c r="N10" s="14"/>
      <c r="O10" s="17"/>
      <c r="P10" s="20"/>
      <c r="Q10" s="5" t="s">
        <v>76</v>
      </c>
      <c r="R10" s="14" t="str">
        <f>IF(H10,CONCATENATE([1]!AddBackslash(WWBin),F10),"")</f>
        <v/>
      </c>
      <c r="S10" s="2" t="str">
        <f t="shared" si="7"/>
        <v/>
      </c>
      <c r="T10" s="2" t="str">
        <f t="shared" si="8"/>
        <v/>
      </c>
    </row>
    <row r="11" spans="1:20" x14ac:dyDescent="0.25">
      <c r="A11" s="1" t="s">
        <v>9</v>
      </c>
      <c r="B11" s="1">
        <f t="shared" ref="B11:B49" si="9">FIND(Loaded_Begin_Marker,$A11)+LEN(Loaded_Begin_Marker)</f>
        <v>33</v>
      </c>
      <c r="C11" s="1">
        <f t="shared" si="0"/>
        <v>64</v>
      </c>
      <c r="D11" s="1" t="str">
        <f t="shared" si="1"/>
        <v>C:\bin\WWSYMBOL\ProcessInfo.dll</v>
      </c>
      <c r="E11" s="1" t="str">
        <f>[1]!GetFolder(D11)</f>
        <v>C:\bin\WWSYMBOL</v>
      </c>
      <c r="F11" s="2" t="str">
        <f>[1]!GetFile(D11)</f>
        <v>ProcessInfo.dll</v>
      </c>
      <c r="G11" s="2" t="str">
        <f>UPPER(RIGHT([1]!GetExtension(D11),LEN([1]!GetExtension(D11))-1))</f>
        <v>DLL</v>
      </c>
      <c r="H11" s="2" t="b">
        <f t="shared" ref="H11:H49" si="10">OR(E11=WWSYMBOL,E11=WWBin)</f>
        <v>1</v>
      </c>
      <c r="I11" s="2" t="b">
        <f t="shared" si="2"/>
        <v>0</v>
      </c>
      <c r="J11" s="2" t="b">
        <f t="shared" si="3"/>
        <v>0</v>
      </c>
      <c r="K11" s="2" t="str">
        <f>IF(H11,[1]!GetVersionInfo_WW(D11,3),"")</f>
        <v>1.2.0.4</v>
      </c>
      <c r="L11" s="2" t="str">
        <f>IF(H11,[1]!GetVersionInfo_WW(CONCATENATE([1]!AddBackslash(WWBin),F11),3),"")</f>
        <v>1.2.0.4</v>
      </c>
      <c r="M11" s="2" t="b">
        <f t="shared" si="4"/>
        <v>1</v>
      </c>
      <c r="N11" s="2" t="str">
        <f t="shared" si="5"/>
        <v>ProcessInfo.H</v>
      </c>
      <c r="O11" s="3" t="str">
        <f t="shared" si="6"/>
        <v>ProcessInfo.H</v>
      </c>
      <c r="P11" s="4">
        <f>IF(H11,[1]!dtmFileDateInfo(CONCATENATE(WWInclude,N11)),"")</f>
        <v>42237.075277777774</v>
      </c>
      <c r="Q11" s="9"/>
      <c r="R11" s="2" t="str">
        <f>IF(H11,CONCATENATE([1]!AddBackslash(WWBin),F11),"")</f>
        <v>C:\bin\ProcessInfo.dll</v>
      </c>
      <c r="S11" s="2" t="str">
        <f t="shared" si="7"/>
        <v>C:\Users\DAVE\Documents\Programming\Visual_Studio_6\EXE\Console\SoundOff\Debug\ProcessInfo.dll</v>
      </c>
      <c r="T11" s="2" t="str">
        <f t="shared" si="8"/>
        <v>call XCopyF.CMD C:\bin\ProcessInfo.dll C:\Users\DAVE\Documents\Programming\Visual_Studio_6\EXE\Console\SoundOff\Debug\ProcessInfo.dll</v>
      </c>
    </row>
    <row r="12" spans="1:20" x14ac:dyDescent="0.25">
      <c r="A12" s="1" t="s">
        <v>10</v>
      </c>
      <c r="B12" s="1">
        <f t="shared" si="9"/>
        <v>33</v>
      </c>
      <c r="C12" s="1">
        <f t="shared" si="0"/>
        <v>64</v>
      </c>
      <c r="D12" s="1" t="str">
        <f t="shared" si="1"/>
        <v>C:\Windows\SysWOW64\shlwapi.dll</v>
      </c>
      <c r="E12" s="1" t="str">
        <f>[1]!GetFolder(D12)</f>
        <v>C:\Windows\SysWOW64</v>
      </c>
      <c r="F12" s="2" t="str">
        <f>[1]!GetFile(D12)</f>
        <v>shlwapi.dll</v>
      </c>
      <c r="G12" s="2" t="str">
        <f>UPPER(RIGHT([1]!GetExtension(D12),LEN([1]!GetExtension(D12))-1))</f>
        <v>DLL</v>
      </c>
      <c r="H12" s="2" t="b">
        <f t="shared" si="10"/>
        <v>0</v>
      </c>
      <c r="I12" s="2" t="b">
        <f t="shared" si="2"/>
        <v>1</v>
      </c>
      <c r="J12" s="2" t="b">
        <f t="shared" si="3"/>
        <v>0</v>
      </c>
      <c r="K12" s="2" t="str">
        <f>IF(H12,[1]!GetVersionInfo_WW(D12,3),"")</f>
        <v/>
      </c>
      <c r="L12" s="2" t="str">
        <f>IF(H12,[1]!GetVersionInfo_WW(CONCATENATE([1]!AddBackslash(WWBin),F12),3),"")</f>
        <v/>
      </c>
      <c r="M12" s="2" t="str">
        <f t="shared" si="4"/>
        <v/>
      </c>
      <c r="N12" s="2" t="str">
        <f t="shared" si="5"/>
        <v/>
      </c>
      <c r="O12" s="3" t="str">
        <f t="shared" si="6"/>
        <v/>
      </c>
      <c r="P12" s="4" t="str">
        <f>IF(H12,[1]!dtmFileDateInfo(CONCATENATE(WWInclude,N12)),"")</f>
        <v/>
      </c>
      <c r="Q12" s="9"/>
      <c r="R12" s="2" t="str">
        <f>IF(H12,CONCATENATE([1]!AddBackslash(WWBin),F12),"")</f>
        <v/>
      </c>
      <c r="S12" s="2" t="str">
        <f t="shared" si="7"/>
        <v/>
      </c>
      <c r="T12" s="2" t="str">
        <f t="shared" si="8"/>
        <v/>
      </c>
    </row>
    <row r="13" spans="1:20" x14ac:dyDescent="0.25">
      <c r="A13" s="1" t="s">
        <v>11</v>
      </c>
      <c r="B13" s="1">
        <f t="shared" si="9"/>
        <v>33</v>
      </c>
      <c r="C13" s="1">
        <f t="shared" si="0"/>
        <v>62</v>
      </c>
      <c r="D13" s="1" t="str">
        <f t="shared" si="1"/>
        <v>C:\Windows\SysWOW64\gdi32.dll</v>
      </c>
      <c r="E13" s="1" t="str">
        <f>[1]!GetFolder(D13)</f>
        <v>C:\Windows\SysWOW64</v>
      </c>
      <c r="F13" s="2" t="str">
        <f>[1]!GetFile(D13)</f>
        <v>gdi32.dll</v>
      </c>
      <c r="G13" s="2" t="str">
        <f>UPPER(RIGHT([1]!GetExtension(D13),LEN([1]!GetExtension(D13))-1))</f>
        <v>DLL</v>
      </c>
      <c r="H13" s="2" t="b">
        <f t="shared" si="10"/>
        <v>0</v>
      </c>
      <c r="I13" s="2" t="b">
        <f t="shared" si="2"/>
        <v>1</v>
      </c>
      <c r="J13" s="2" t="b">
        <f t="shared" si="3"/>
        <v>0</v>
      </c>
      <c r="K13" s="2" t="str">
        <f>IF(H13,[1]!GetVersionInfo_WW(D13,3),"")</f>
        <v/>
      </c>
      <c r="L13" s="2" t="str">
        <f>IF(H13,[1]!GetVersionInfo_WW(CONCATENATE([1]!AddBackslash(WWBin),F13),3),"")</f>
        <v/>
      </c>
      <c r="M13" s="2" t="str">
        <f t="shared" si="4"/>
        <v/>
      </c>
      <c r="N13" s="2" t="str">
        <f t="shared" si="5"/>
        <v/>
      </c>
      <c r="O13" s="3" t="str">
        <f t="shared" si="6"/>
        <v/>
      </c>
      <c r="P13" s="4" t="str">
        <f>IF(H13,[1]!dtmFileDateInfo(CONCATENATE(WWInclude,N13)),"")</f>
        <v/>
      </c>
      <c r="Q13" s="9"/>
      <c r="R13" s="2" t="str">
        <f>IF(H13,CONCATENATE([1]!AddBackslash(WWBin),F13),"")</f>
        <v/>
      </c>
      <c r="S13" s="2" t="str">
        <f t="shared" si="7"/>
        <v/>
      </c>
      <c r="T13" s="2" t="str">
        <f t="shared" si="8"/>
        <v/>
      </c>
    </row>
    <row r="14" spans="1:20" x14ac:dyDescent="0.25">
      <c r="A14" s="1" t="s">
        <v>12</v>
      </c>
      <c r="B14" s="1">
        <f t="shared" si="9"/>
        <v>33</v>
      </c>
      <c r="C14" s="1">
        <f t="shared" si="0"/>
        <v>63</v>
      </c>
      <c r="D14" s="1" t="str">
        <f t="shared" si="1"/>
        <v>C:\Windows\SysWOW64\user32.dll</v>
      </c>
      <c r="E14" s="1" t="str">
        <f>[1]!GetFolder(D14)</f>
        <v>C:\Windows\SysWOW64</v>
      </c>
      <c r="F14" s="2" t="str">
        <f>[1]!GetFile(D14)</f>
        <v>user32.dll</v>
      </c>
      <c r="G14" s="2" t="str">
        <f>UPPER(RIGHT([1]!GetExtension(D14),LEN([1]!GetExtension(D14))-1))</f>
        <v>DLL</v>
      </c>
      <c r="H14" s="2" t="b">
        <f t="shared" si="10"/>
        <v>0</v>
      </c>
      <c r="I14" s="2" t="b">
        <f t="shared" si="2"/>
        <v>1</v>
      </c>
      <c r="J14" s="2" t="b">
        <f t="shared" si="3"/>
        <v>0</v>
      </c>
      <c r="K14" s="2" t="str">
        <f>IF(H14,[1]!GetVersionInfo_WW(D14,3),"")</f>
        <v/>
      </c>
      <c r="L14" s="2" t="str">
        <f>IF(H14,[1]!GetVersionInfo_WW(CONCATENATE([1]!AddBackslash(WWBin),F14),3),"")</f>
        <v/>
      </c>
      <c r="M14" s="2" t="str">
        <f t="shared" si="4"/>
        <v/>
      </c>
      <c r="N14" s="2" t="str">
        <f t="shared" si="5"/>
        <v/>
      </c>
      <c r="O14" s="3" t="str">
        <f t="shared" si="6"/>
        <v/>
      </c>
      <c r="P14" s="4" t="str">
        <f>IF(H14,[1]!dtmFileDateInfo(CONCATENATE(WWInclude,N14)),"")</f>
        <v/>
      </c>
      <c r="Q14" s="9"/>
      <c r="R14" s="2" t="str">
        <f>IF(H14,CONCATENATE([1]!AddBackslash(WWBin),F14),"")</f>
        <v/>
      </c>
      <c r="S14" s="2" t="str">
        <f t="shared" si="7"/>
        <v/>
      </c>
      <c r="T14" s="2" t="str">
        <f t="shared" si="8"/>
        <v/>
      </c>
    </row>
    <row r="15" spans="1:20" x14ac:dyDescent="0.25">
      <c r="A15" s="1" t="s">
        <v>13</v>
      </c>
      <c r="B15" s="1">
        <f t="shared" si="9"/>
        <v>33</v>
      </c>
      <c r="C15" s="1">
        <f t="shared" si="0"/>
        <v>65</v>
      </c>
      <c r="D15" s="1" t="str">
        <f t="shared" si="1"/>
        <v>C:\Windows\SysWOW64\advapi32.dll</v>
      </c>
      <c r="E15" s="1" t="str">
        <f>[1]!GetFolder(D15)</f>
        <v>C:\Windows\SysWOW64</v>
      </c>
      <c r="F15" s="2" t="str">
        <f>[1]!GetFile(D15)</f>
        <v>advapi32.dll</v>
      </c>
      <c r="G15" s="2" t="str">
        <f>UPPER(RIGHT([1]!GetExtension(D15),LEN([1]!GetExtension(D15))-1))</f>
        <v>DLL</v>
      </c>
      <c r="H15" s="2" t="b">
        <f t="shared" si="10"/>
        <v>0</v>
      </c>
      <c r="I15" s="2" t="b">
        <f t="shared" si="2"/>
        <v>1</v>
      </c>
      <c r="J15" s="2" t="b">
        <f t="shared" si="3"/>
        <v>0</v>
      </c>
      <c r="K15" s="2" t="str">
        <f>IF(H15,[1]!GetVersionInfo_WW(D15,3),"")</f>
        <v/>
      </c>
      <c r="L15" s="2" t="str">
        <f>IF(H15,[1]!GetVersionInfo_WW(CONCATENATE([1]!AddBackslash(WWBin),F15),3),"")</f>
        <v/>
      </c>
      <c r="M15" s="2" t="str">
        <f t="shared" si="4"/>
        <v/>
      </c>
      <c r="N15" s="2" t="str">
        <f t="shared" si="5"/>
        <v/>
      </c>
      <c r="O15" s="3" t="str">
        <f t="shared" si="6"/>
        <v/>
      </c>
      <c r="P15" s="4" t="str">
        <f>IF(H15,[1]!dtmFileDateInfo(CONCATENATE(WWInclude,N15)),"")</f>
        <v/>
      </c>
      <c r="Q15" s="9"/>
      <c r="R15" s="2" t="str">
        <f>IF(H15,CONCATENATE([1]!AddBackslash(WWBin),F15),"")</f>
        <v/>
      </c>
      <c r="S15" s="2" t="str">
        <f t="shared" si="7"/>
        <v/>
      </c>
      <c r="T15" s="2" t="str">
        <f t="shared" si="8"/>
        <v/>
      </c>
    </row>
    <row r="16" spans="1:20" x14ac:dyDescent="0.25">
      <c r="A16" s="1" t="s">
        <v>14</v>
      </c>
      <c r="B16" s="1">
        <f t="shared" si="9"/>
        <v>33</v>
      </c>
      <c r="C16" s="1">
        <f t="shared" si="0"/>
        <v>63</v>
      </c>
      <c r="D16" s="1" t="str">
        <f t="shared" si="1"/>
        <v>C:\Windows\SysWOW64\msvcrt.dll</v>
      </c>
      <c r="E16" s="1" t="str">
        <f>[1]!GetFolder(D16)</f>
        <v>C:\Windows\SysWOW64</v>
      </c>
      <c r="F16" s="2" t="str">
        <f>[1]!GetFile(D16)</f>
        <v>msvcrt.dll</v>
      </c>
      <c r="G16" s="2" t="str">
        <f>UPPER(RIGHT([1]!GetExtension(D16),LEN([1]!GetExtension(D16))-1))</f>
        <v>DLL</v>
      </c>
      <c r="H16" s="2" t="b">
        <f t="shared" si="10"/>
        <v>0</v>
      </c>
      <c r="I16" s="2" t="b">
        <f t="shared" si="2"/>
        <v>1</v>
      </c>
      <c r="J16" s="2" t="b">
        <f t="shared" si="3"/>
        <v>0</v>
      </c>
      <c r="K16" s="2" t="str">
        <f>IF(H16,[1]!GetVersionInfo_WW(D16,3),"")</f>
        <v/>
      </c>
      <c r="L16" s="2" t="str">
        <f>IF(H16,[1]!GetVersionInfo_WW(CONCATENATE([1]!AddBackslash(WWBin),F16),3),"")</f>
        <v/>
      </c>
      <c r="M16" s="2" t="str">
        <f t="shared" si="4"/>
        <v/>
      </c>
      <c r="N16" s="2" t="str">
        <f t="shared" si="5"/>
        <v/>
      </c>
      <c r="O16" s="3" t="str">
        <f t="shared" si="6"/>
        <v/>
      </c>
      <c r="P16" s="4" t="str">
        <f>IF(H16,[1]!dtmFileDateInfo(CONCATENATE(WWInclude,N16)),"")</f>
        <v/>
      </c>
      <c r="Q16" s="9"/>
      <c r="R16" s="2" t="str">
        <f>IF(H16,CONCATENATE([1]!AddBackslash(WWBin),F16),"")</f>
        <v/>
      </c>
      <c r="S16" s="2" t="str">
        <f t="shared" si="7"/>
        <v/>
      </c>
      <c r="T16" s="2" t="str">
        <f t="shared" si="8"/>
        <v/>
      </c>
    </row>
    <row r="17" spans="1:20" x14ac:dyDescent="0.25">
      <c r="A17" s="1" t="s">
        <v>15</v>
      </c>
      <c r="B17" s="1">
        <f t="shared" si="9"/>
        <v>33</v>
      </c>
      <c r="C17" s="1">
        <f t="shared" si="0"/>
        <v>64</v>
      </c>
      <c r="D17" s="1" t="str">
        <f t="shared" si="1"/>
        <v>C:\Windows\SysWOW64\sechost.dll</v>
      </c>
      <c r="E17" s="1" t="str">
        <f>[1]!GetFolder(D17)</f>
        <v>C:\Windows\SysWOW64</v>
      </c>
      <c r="F17" s="2" t="str">
        <f>[1]!GetFile(D17)</f>
        <v>sechost.dll</v>
      </c>
      <c r="G17" s="2" t="str">
        <f>UPPER(RIGHT([1]!GetExtension(D17),LEN([1]!GetExtension(D17))-1))</f>
        <v>DLL</v>
      </c>
      <c r="H17" s="2" t="b">
        <f t="shared" si="10"/>
        <v>0</v>
      </c>
      <c r="I17" s="2" t="b">
        <f t="shared" si="2"/>
        <v>1</v>
      </c>
      <c r="J17" s="2" t="b">
        <f t="shared" si="3"/>
        <v>0</v>
      </c>
      <c r="K17" s="2" t="str">
        <f>IF(H17,[1]!GetVersionInfo_WW(D17,3),"")</f>
        <v/>
      </c>
      <c r="L17" s="2" t="str">
        <f>IF(H17,[1]!GetVersionInfo_WW(CONCATENATE([1]!AddBackslash(WWBin),F17),3),"")</f>
        <v/>
      </c>
      <c r="M17" s="2" t="str">
        <f t="shared" si="4"/>
        <v/>
      </c>
      <c r="N17" s="2" t="str">
        <f t="shared" si="5"/>
        <v/>
      </c>
      <c r="O17" s="3" t="str">
        <f t="shared" si="6"/>
        <v/>
      </c>
      <c r="P17" s="4" t="str">
        <f>IF(H17,[1]!dtmFileDateInfo(CONCATENATE(WWInclude,N17)),"")</f>
        <v/>
      </c>
      <c r="Q17" s="9"/>
      <c r="R17" s="2" t="str">
        <f>IF(H17,CONCATENATE([1]!AddBackslash(WWBin),F17),"")</f>
        <v/>
      </c>
      <c r="S17" s="2" t="str">
        <f t="shared" si="7"/>
        <v/>
      </c>
      <c r="T17" s="2" t="str">
        <f t="shared" si="8"/>
        <v/>
      </c>
    </row>
    <row r="18" spans="1:20" x14ac:dyDescent="0.25">
      <c r="A18" s="1" t="s">
        <v>16</v>
      </c>
      <c r="B18" s="1">
        <f t="shared" si="9"/>
        <v>33</v>
      </c>
      <c r="C18" s="1">
        <f t="shared" si="0"/>
        <v>63</v>
      </c>
      <c r="D18" s="1" t="str">
        <f t="shared" si="1"/>
        <v>C:\Windows\SysWOW64\rpcrt4.dll</v>
      </c>
      <c r="E18" s="1" t="str">
        <f>[1]!GetFolder(D18)</f>
        <v>C:\Windows\SysWOW64</v>
      </c>
      <c r="F18" s="2" t="str">
        <f>[1]!GetFile(D18)</f>
        <v>rpcrt4.dll</v>
      </c>
      <c r="G18" s="2" t="str">
        <f>UPPER(RIGHT([1]!GetExtension(D18),LEN([1]!GetExtension(D18))-1))</f>
        <v>DLL</v>
      </c>
      <c r="H18" s="2" t="b">
        <f t="shared" si="10"/>
        <v>0</v>
      </c>
      <c r="I18" s="2" t="b">
        <f t="shared" si="2"/>
        <v>1</v>
      </c>
      <c r="J18" s="2" t="b">
        <f t="shared" si="3"/>
        <v>0</v>
      </c>
      <c r="K18" s="2" t="str">
        <f>IF(H18,[1]!GetVersionInfo_WW(D18,3),"")</f>
        <v/>
      </c>
      <c r="L18" s="2" t="str">
        <f>IF(H18,[1]!GetVersionInfo_WW(CONCATENATE([1]!AddBackslash(WWBin),F18),3),"")</f>
        <v/>
      </c>
      <c r="M18" s="2" t="str">
        <f t="shared" si="4"/>
        <v/>
      </c>
      <c r="N18" s="2" t="str">
        <f t="shared" si="5"/>
        <v/>
      </c>
      <c r="O18" s="3" t="str">
        <f t="shared" si="6"/>
        <v/>
      </c>
      <c r="P18" s="4" t="str">
        <f>IF(H18,[1]!dtmFileDateInfo(CONCATENATE(WWInclude,N18)),"")</f>
        <v/>
      </c>
      <c r="Q18" s="9"/>
      <c r="R18" s="2" t="str">
        <f>IF(H18,CONCATENATE([1]!AddBackslash(WWBin),F18),"")</f>
        <v/>
      </c>
      <c r="S18" s="2" t="str">
        <f t="shared" si="7"/>
        <v/>
      </c>
      <c r="T18" s="2" t="str">
        <f t="shared" si="8"/>
        <v/>
      </c>
    </row>
    <row r="19" spans="1:20" x14ac:dyDescent="0.25">
      <c r="A19" s="1" t="s">
        <v>17</v>
      </c>
      <c r="B19" s="1">
        <f t="shared" si="9"/>
        <v>33</v>
      </c>
      <c r="C19" s="1">
        <f t="shared" si="0"/>
        <v>64</v>
      </c>
      <c r="D19" s="1" t="str">
        <f t="shared" si="1"/>
        <v>C:\Windows\SysWOW64\sspicli.dll</v>
      </c>
      <c r="E19" s="1" t="str">
        <f>[1]!GetFolder(D19)</f>
        <v>C:\Windows\SysWOW64</v>
      </c>
      <c r="F19" s="2" t="str">
        <f>[1]!GetFile(D19)</f>
        <v>sspicli.dll</v>
      </c>
      <c r="G19" s="2" t="str">
        <f>UPPER(RIGHT([1]!GetExtension(D19),LEN([1]!GetExtension(D19))-1))</f>
        <v>DLL</v>
      </c>
      <c r="H19" s="2" t="b">
        <f t="shared" si="10"/>
        <v>0</v>
      </c>
      <c r="I19" s="2" t="b">
        <f t="shared" si="2"/>
        <v>1</v>
      </c>
      <c r="J19" s="2" t="b">
        <f t="shared" si="3"/>
        <v>0</v>
      </c>
      <c r="K19" s="2" t="str">
        <f>IF(H19,[1]!GetVersionInfo_WW(D19,3),"")</f>
        <v/>
      </c>
      <c r="L19" s="2" t="str">
        <f>IF(H19,[1]!GetVersionInfo_WW(CONCATENATE([1]!AddBackslash(WWBin),F19),3),"")</f>
        <v/>
      </c>
      <c r="M19" s="2" t="str">
        <f t="shared" si="4"/>
        <v/>
      </c>
      <c r="N19" s="2" t="str">
        <f t="shared" si="5"/>
        <v/>
      </c>
      <c r="O19" s="3" t="str">
        <f t="shared" si="6"/>
        <v/>
      </c>
      <c r="P19" s="4" t="str">
        <f>IF(H19,[1]!dtmFileDateInfo(CONCATENATE(WWInclude,N19)),"")</f>
        <v/>
      </c>
      <c r="Q19" s="9"/>
      <c r="R19" s="2" t="str">
        <f>IF(H19,CONCATENATE([1]!AddBackslash(WWBin),F19),"")</f>
        <v/>
      </c>
      <c r="S19" s="2" t="str">
        <f t="shared" si="7"/>
        <v/>
      </c>
      <c r="T19" s="2" t="str">
        <f t="shared" si="8"/>
        <v/>
      </c>
    </row>
    <row r="20" spans="1:20" x14ac:dyDescent="0.25">
      <c r="A20" s="1" t="s">
        <v>18</v>
      </c>
      <c r="B20" s="1">
        <f t="shared" si="9"/>
        <v>33</v>
      </c>
      <c r="C20" s="1">
        <f t="shared" si="0"/>
        <v>66</v>
      </c>
      <c r="D20" s="1" t="str">
        <f t="shared" si="1"/>
        <v>C:\Windows\SysWOW64\cryptbase.dll</v>
      </c>
      <c r="E20" s="1" t="str">
        <f>[1]!GetFolder(D20)</f>
        <v>C:\Windows\SysWOW64</v>
      </c>
      <c r="F20" s="2" t="str">
        <f>[1]!GetFile(D20)</f>
        <v>cryptbase.dll</v>
      </c>
      <c r="G20" s="2" t="str">
        <f>UPPER(RIGHT([1]!GetExtension(D20),LEN([1]!GetExtension(D20))-1))</f>
        <v>DLL</v>
      </c>
      <c r="H20" s="2" t="b">
        <f t="shared" si="10"/>
        <v>0</v>
      </c>
      <c r="I20" s="2" t="b">
        <f t="shared" si="2"/>
        <v>1</v>
      </c>
      <c r="J20" s="2" t="b">
        <f t="shared" si="3"/>
        <v>0</v>
      </c>
      <c r="K20" s="2" t="str">
        <f>IF(H20,[1]!GetVersionInfo_WW(D20,3),"")</f>
        <v/>
      </c>
      <c r="L20" s="2" t="str">
        <f>IF(H20,[1]!GetVersionInfo_WW(CONCATENATE([1]!AddBackslash(WWBin),F20),3),"")</f>
        <v/>
      </c>
      <c r="M20" s="2" t="str">
        <f t="shared" si="4"/>
        <v/>
      </c>
      <c r="N20" s="2" t="str">
        <f t="shared" si="5"/>
        <v/>
      </c>
      <c r="O20" s="3" t="str">
        <f t="shared" si="6"/>
        <v/>
      </c>
      <c r="P20" s="4" t="str">
        <f>IF(H20,[1]!dtmFileDateInfo(CONCATENATE(WWInclude,N20)),"")</f>
        <v/>
      </c>
      <c r="Q20" s="9"/>
      <c r="R20" s="2" t="str">
        <f>IF(H20,CONCATENATE([1]!AddBackslash(WWBin),F20),"")</f>
        <v/>
      </c>
      <c r="S20" s="2" t="str">
        <f t="shared" si="7"/>
        <v/>
      </c>
      <c r="T20" s="2" t="str">
        <f t="shared" si="8"/>
        <v/>
      </c>
    </row>
    <row r="21" spans="1:20" x14ac:dyDescent="0.25">
      <c r="A21" s="1" t="s">
        <v>19</v>
      </c>
      <c r="B21" s="1">
        <f t="shared" si="9"/>
        <v>33</v>
      </c>
      <c r="C21" s="1">
        <f t="shared" si="0"/>
        <v>60</v>
      </c>
      <c r="D21" s="1" t="str">
        <f t="shared" si="1"/>
        <v>C:\Windows\SysWOW64\lpk.dll</v>
      </c>
      <c r="E21" s="1" t="str">
        <f>[1]!GetFolder(D21)</f>
        <v>C:\Windows\SysWOW64</v>
      </c>
      <c r="F21" s="2" t="str">
        <f>[1]!GetFile(D21)</f>
        <v>lpk.dll</v>
      </c>
      <c r="G21" s="2" t="str">
        <f>UPPER(RIGHT([1]!GetExtension(D21),LEN([1]!GetExtension(D21))-1))</f>
        <v>DLL</v>
      </c>
      <c r="H21" s="2" t="b">
        <f t="shared" si="10"/>
        <v>0</v>
      </c>
      <c r="I21" s="2" t="b">
        <f t="shared" si="2"/>
        <v>1</v>
      </c>
      <c r="J21" s="2" t="b">
        <f t="shared" si="3"/>
        <v>0</v>
      </c>
      <c r="K21" s="2" t="str">
        <f>IF(H21,[1]!GetVersionInfo_WW(D21,3),"")</f>
        <v/>
      </c>
      <c r="L21" s="2" t="str">
        <f>IF(H21,[1]!GetVersionInfo_WW(CONCATENATE([1]!AddBackslash(WWBin),F21),3),"")</f>
        <v/>
      </c>
      <c r="M21" s="2" t="str">
        <f t="shared" si="4"/>
        <v/>
      </c>
      <c r="N21" s="2" t="str">
        <f t="shared" si="5"/>
        <v/>
      </c>
      <c r="O21" s="3" t="str">
        <f t="shared" si="6"/>
        <v/>
      </c>
      <c r="P21" s="4" t="str">
        <f>IF(H21,[1]!dtmFileDateInfo(CONCATENATE(WWInclude,N21)),"")</f>
        <v/>
      </c>
      <c r="Q21" s="9"/>
      <c r="R21" s="2" t="str">
        <f>IF(H21,CONCATENATE([1]!AddBackslash(WWBin),F21),"")</f>
        <v/>
      </c>
      <c r="S21" s="2" t="str">
        <f t="shared" si="7"/>
        <v/>
      </c>
      <c r="T21" s="2" t="str">
        <f t="shared" si="8"/>
        <v/>
      </c>
    </row>
    <row r="22" spans="1:20" x14ac:dyDescent="0.25">
      <c r="A22" s="1" t="s">
        <v>20</v>
      </c>
      <c r="B22" s="1">
        <f t="shared" si="9"/>
        <v>33</v>
      </c>
      <c r="C22" s="1">
        <f t="shared" si="0"/>
        <v>62</v>
      </c>
      <c r="D22" s="1" t="str">
        <f t="shared" si="1"/>
        <v>C:\Windows\SysWOW64\usp10.dll</v>
      </c>
      <c r="E22" s="1" t="str">
        <f>[1]!GetFolder(D22)</f>
        <v>C:\Windows\SysWOW64</v>
      </c>
      <c r="F22" s="2" t="str">
        <f>[1]!GetFile(D22)</f>
        <v>usp10.dll</v>
      </c>
      <c r="G22" s="2" t="str">
        <f>UPPER(RIGHT([1]!GetExtension(D22),LEN([1]!GetExtension(D22))-1))</f>
        <v>DLL</v>
      </c>
      <c r="H22" s="2" t="b">
        <f t="shared" si="10"/>
        <v>0</v>
      </c>
      <c r="I22" s="2" t="b">
        <f t="shared" si="2"/>
        <v>1</v>
      </c>
      <c r="J22" s="2" t="b">
        <f t="shared" si="3"/>
        <v>0</v>
      </c>
      <c r="K22" s="2" t="str">
        <f>IF(H22,[1]!GetVersionInfo_WW(D22,3),"")</f>
        <v/>
      </c>
      <c r="L22" s="2" t="str">
        <f>IF(H22,[1]!GetVersionInfo_WW(CONCATENATE([1]!AddBackslash(WWBin),F22),3),"")</f>
        <v/>
      </c>
      <c r="M22" s="2" t="str">
        <f t="shared" si="4"/>
        <v/>
      </c>
      <c r="N22" s="2" t="str">
        <f t="shared" si="5"/>
        <v/>
      </c>
      <c r="O22" s="3" t="str">
        <f t="shared" si="6"/>
        <v/>
      </c>
      <c r="P22" s="4" t="str">
        <f>IF(H22,[1]!dtmFileDateInfo(CONCATENATE(WWInclude,N22)),"")</f>
        <v/>
      </c>
      <c r="Q22" s="5"/>
      <c r="R22" s="2" t="str">
        <f>IF(H22,CONCATENATE([1]!AddBackslash(WWBin),F22),"")</f>
        <v/>
      </c>
      <c r="S22" s="2" t="str">
        <f t="shared" si="7"/>
        <v/>
      </c>
      <c r="T22" s="2" t="str">
        <f t="shared" si="8"/>
        <v/>
      </c>
    </row>
    <row r="23" spans="1:20" x14ac:dyDescent="0.25">
      <c r="A23" s="1" t="s">
        <v>21</v>
      </c>
      <c r="B23" s="1">
        <f t="shared" si="9"/>
        <v>33</v>
      </c>
      <c r="C23" s="1">
        <f t="shared" si="0"/>
        <v>71</v>
      </c>
      <c r="D23" s="1" t="str">
        <f t="shared" si="1"/>
        <v>C:\bin\WWSYMBOL\WWKernelLibWrapper.dll</v>
      </c>
      <c r="E23" s="1" t="str">
        <f>[1]!GetFolder(D23)</f>
        <v>C:\bin\WWSYMBOL</v>
      </c>
      <c r="F23" s="2" t="str">
        <f>[1]!GetFile(D23)</f>
        <v>WWKernelLibWrapper.dll</v>
      </c>
      <c r="G23" s="2" t="str">
        <f>UPPER(RIGHT([1]!GetExtension(D23),LEN([1]!GetExtension(D23))-1))</f>
        <v>DLL</v>
      </c>
      <c r="H23" s="2" t="b">
        <f t="shared" si="10"/>
        <v>1</v>
      </c>
      <c r="I23" s="2" t="b">
        <f t="shared" si="2"/>
        <v>0</v>
      </c>
      <c r="J23" s="2" t="b">
        <f t="shared" si="3"/>
        <v>0</v>
      </c>
      <c r="K23" s="2" t="str">
        <f>IF(H23,[1]!GetVersionInfo_WW(D23,3),"")</f>
        <v>1.9.2.8</v>
      </c>
      <c r="L23" s="2" t="str">
        <f>IF(H23,[1]!GetVersionInfo_WW(CONCATENATE([1]!AddBackslash(WWBin),F23),3),"")</f>
        <v>1.9.2.8</v>
      </c>
      <c r="M23" s="2" t="b">
        <f t="shared" si="4"/>
        <v>1</v>
      </c>
      <c r="N23" s="2" t="str">
        <f t="shared" si="5"/>
        <v>WWKernelLibWrapper.H</v>
      </c>
      <c r="O23" s="3" t="str">
        <f t="shared" si="6"/>
        <v>WWKernelLibWrapper.H</v>
      </c>
      <c r="P23" s="4">
        <f>IF(H23,[1]!dtmFileDateInfo(CONCATENATE(WWInclude,N23)),"")</f>
        <v>42780.357118055559</v>
      </c>
      <c r="Q23" s="5"/>
      <c r="R23" s="2" t="str">
        <f>IF(H23,CONCATENATE([1]!AddBackslash(WWBin),F23),"")</f>
        <v>C:\bin\WWKernelLibWrapper.dll</v>
      </c>
      <c r="S23" s="2" t="str">
        <f t="shared" si="7"/>
        <v>C:\Users\DAVE\Documents\Programming\Visual_Studio_6\EXE\Console\SoundOff\Debug\WWKernelLibWrapper.dll</v>
      </c>
      <c r="T23" s="2" t="str">
        <f t="shared" si="8"/>
        <v>call XCopyF.CMD C:\bin\WWKernelLibWrapper.dll C:\Users\DAVE\Documents\Programming\Visual_Studio_6\EXE\Console\SoundOff\Debug\WWKernelLibWrapper.dll</v>
      </c>
    </row>
    <row r="24" spans="1:20" x14ac:dyDescent="0.25">
      <c r="A24" s="1" t="s">
        <v>22</v>
      </c>
      <c r="B24" s="1">
        <f t="shared" si="9"/>
        <v>33</v>
      </c>
      <c r="C24" s="1">
        <f t="shared" si="0"/>
        <v>66</v>
      </c>
      <c r="D24" s="1" t="str">
        <f t="shared" si="1"/>
        <v>C:\Windows\SysWOW64\msvcr120d.dll</v>
      </c>
      <c r="E24" s="1" t="str">
        <f>[1]!GetFolder(D24)</f>
        <v>C:\Windows\SysWOW64</v>
      </c>
      <c r="F24" s="2" t="str">
        <f>[1]!GetFile(D24)</f>
        <v>msvcr120d.dll</v>
      </c>
      <c r="G24" s="2" t="str">
        <f>UPPER(RIGHT([1]!GetExtension(D24),LEN([1]!GetExtension(D24))-1))</f>
        <v>DLL</v>
      </c>
      <c r="H24" s="2" t="b">
        <f t="shared" si="10"/>
        <v>0</v>
      </c>
      <c r="I24" s="2" t="b">
        <f t="shared" si="2"/>
        <v>1</v>
      </c>
      <c r="J24" s="2" t="b">
        <f t="shared" si="3"/>
        <v>0</v>
      </c>
      <c r="K24" s="2" t="str">
        <f>IF(H24,[1]!GetVersionInfo_WW(D24,3),"")</f>
        <v/>
      </c>
      <c r="L24" s="2" t="str">
        <f>IF(H24,[1]!GetVersionInfo_WW(CONCATENATE([1]!AddBackslash(WWBin),F24),3),"")</f>
        <v/>
      </c>
      <c r="M24" s="2" t="str">
        <f t="shared" si="4"/>
        <v/>
      </c>
      <c r="N24" s="2" t="str">
        <f t="shared" si="5"/>
        <v/>
      </c>
      <c r="O24" s="3" t="str">
        <f t="shared" si="6"/>
        <v/>
      </c>
      <c r="P24" s="4" t="str">
        <f>IF(H24,[1]!dtmFileDateInfo(CONCATENATE(WWInclude,N24)),"")</f>
        <v/>
      </c>
      <c r="Q24" s="5"/>
      <c r="R24" s="2" t="str">
        <f>IF(H24,CONCATENATE([1]!AddBackslash(WWBin),F24),"")</f>
        <v/>
      </c>
      <c r="S24" s="2" t="str">
        <f t="shared" si="7"/>
        <v/>
      </c>
      <c r="T24" s="2" t="str">
        <f t="shared" si="8"/>
        <v/>
      </c>
    </row>
    <row r="25" spans="1:20" x14ac:dyDescent="0.25">
      <c r="A25" s="1" t="s">
        <v>23</v>
      </c>
      <c r="B25" s="1">
        <f t="shared" si="9"/>
        <v>33</v>
      </c>
      <c r="C25" s="1">
        <f t="shared" si="0"/>
        <v>68</v>
      </c>
      <c r="D25" s="1" t="str">
        <f t="shared" ref="D25:D36" si="11">MID(A25,B25,C25-B25)</f>
        <v>C:\bin\WWSYMBOL\P6VersionInfo32.dll</v>
      </c>
      <c r="E25" s="1" t="str">
        <f>[1]!GetFolder(D25)</f>
        <v>C:\bin\WWSYMBOL</v>
      </c>
      <c r="F25" s="2" t="str">
        <f>[1]!GetFile(D25)</f>
        <v>P6VersionInfo32.dll</v>
      </c>
      <c r="G25" s="2" t="str">
        <f>UPPER(RIGHT([1]!GetExtension(D25),LEN([1]!GetExtension(D25))-1))</f>
        <v>DLL</v>
      </c>
      <c r="H25" s="2" t="b">
        <f t="shared" si="10"/>
        <v>1</v>
      </c>
      <c r="I25" s="2" t="b">
        <f t="shared" si="2"/>
        <v>0</v>
      </c>
      <c r="J25" s="2" t="b">
        <f t="shared" si="3"/>
        <v>0</v>
      </c>
      <c r="K25" s="2" t="str">
        <f>IF(H25,[1]!GetVersionInfo_WW(D25,3),"")</f>
        <v>2.0.0.2</v>
      </c>
      <c r="L25" s="2" t="str">
        <f>IF(H25,[1]!GetVersionInfo_WW(CONCATENATE([1]!AddBackslash(WWBin),F25),3),"")</f>
        <v>2.0.0.2</v>
      </c>
      <c r="M25" s="2" t="b">
        <f t="shared" si="4"/>
        <v>1</v>
      </c>
      <c r="N25" s="2" t="str">
        <f t="shared" si="5"/>
        <v>P6VersionInfo.H</v>
      </c>
      <c r="O25" s="3" t="str">
        <f t="shared" si="6"/>
        <v>P6VersionInfo.H</v>
      </c>
      <c r="P25" s="4">
        <f>IF(H25,[1]!dtmFileDateInfo(CONCATENATE(WWInclude,N25)),"")</f>
        <v>42780.666041666664</v>
      </c>
      <c r="Q25" s="5"/>
      <c r="R25" s="2" t="str">
        <f>IF(H25,CONCATENATE([1]!AddBackslash(WWBin),F25),"")</f>
        <v>C:\bin\P6VersionInfo32.dll</v>
      </c>
      <c r="S25" s="2" t="str">
        <f t="shared" si="7"/>
        <v>C:\Users\DAVE\Documents\Programming\Visual_Studio_6\EXE\Console\SoundOff\Debug\P6VersionInfo32.dll</v>
      </c>
      <c r="T25" s="2" t="str">
        <f t="shared" si="8"/>
        <v>call XCopyF.CMD C:\bin\P6VersionInfo32.dll C:\Users\DAVE\Documents\Programming\Visual_Studio_6\EXE\Console\SoundOff\Debug\P6VersionInfo32.dll</v>
      </c>
    </row>
    <row r="26" spans="1:20" ht="85.5" x14ac:dyDescent="0.25">
      <c r="A26" s="1" t="s">
        <v>24</v>
      </c>
      <c r="B26" s="1">
        <f t="shared" si="9"/>
        <v>33</v>
      </c>
      <c r="C26" s="1">
        <f t="shared" si="0"/>
        <v>66</v>
      </c>
      <c r="D26" s="1" t="str">
        <f t="shared" si="11"/>
        <v>C:\bin\WWSYMBOL\P6CStringLib1.dll</v>
      </c>
      <c r="E26" s="1" t="str">
        <f>[1]!GetFolder(D26)</f>
        <v>C:\bin\WWSYMBOL</v>
      </c>
      <c r="F26" s="2" t="str">
        <f>[1]!GetFile(D26)</f>
        <v>P6CStringLib1.dll</v>
      </c>
      <c r="G26" s="2" t="str">
        <f>UPPER(RIGHT([1]!GetExtension(D26),LEN([1]!GetExtension(D26))-1))</f>
        <v>DLL</v>
      </c>
      <c r="H26" s="2" t="b">
        <f t="shared" si="10"/>
        <v>1</v>
      </c>
      <c r="I26" s="2" t="b">
        <f t="shared" si="2"/>
        <v>0</v>
      </c>
      <c r="J26" s="2" t="b">
        <f t="shared" si="3"/>
        <v>0</v>
      </c>
      <c r="K26" s="2" t="str">
        <f>IF(H26,[1]!GetVersionInfo_WW(D26,3),"")</f>
        <v>3.5.0.7</v>
      </c>
      <c r="L26" s="2" t="str">
        <f>IF(H26,[1]!GetVersionInfo_WW(CONCATENATE([1]!AddBackslash(WWBin),F26),3),"")</f>
        <v>3.4.0.6</v>
      </c>
      <c r="M26" s="2" t="b">
        <f t="shared" si="4"/>
        <v>0</v>
      </c>
      <c r="N26" s="2" t="str">
        <f t="shared" si="5"/>
        <v>P6CStringLib1.H</v>
      </c>
      <c r="O26" s="3" t="str">
        <f t="shared" si="6"/>
        <v>P6CStringLib1.H</v>
      </c>
      <c r="P26" s="4">
        <f>IF(H26,[1]!dtmFileDateInfo(CONCATENATE(WWInclude,N26)),"")</f>
        <v>42569.612280092595</v>
      </c>
      <c r="Q26" s="5" t="s">
        <v>72</v>
      </c>
      <c r="R26" s="2" t="str">
        <f>IF(H26,CONCATENATE([1]!AddBackslash(WWBin),F26),"")</f>
        <v>C:\bin\P6CStringLib1.dll</v>
      </c>
      <c r="S26" s="2" t="str">
        <f t="shared" si="7"/>
        <v>C:\Users\DAVE\Documents\Programming\Visual_Studio_6\EXE\Console\SoundOff\Debug\P6CStringLib1.dll</v>
      </c>
      <c r="T26" s="2" t="str">
        <f t="shared" si="8"/>
        <v>call XCopyF.CMD C:\bin\P6CStringLib1.dll C:\Users\DAVE\Documents\Programming\Visual_Studio_6\EXE\Console\SoundOff\Debug\P6CStringLib1.dll</v>
      </c>
    </row>
    <row r="27" spans="1:20" x14ac:dyDescent="0.25">
      <c r="A27" s="1" t="s">
        <v>25</v>
      </c>
      <c r="B27" s="1">
        <f t="shared" si="9"/>
        <v>33</v>
      </c>
      <c r="C27" s="1">
        <f t="shared" si="0"/>
        <v>54</v>
      </c>
      <c r="D27" s="1" t="str">
        <f t="shared" si="11"/>
        <v>C:\bin\SafeMemCpy.dll</v>
      </c>
      <c r="E27" s="1" t="str">
        <f>[1]!GetFolder(D27)</f>
        <v>C:\bin</v>
      </c>
      <c r="F27" s="2" t="str">
        <f>[1]!GetFile(D27)</f>
        <v>SafeMemCpy.dll</v>
      </c>
      <c r="G27" s="2" t="str">
        <f>UPPER(RIGHT([1]!GetExtension(D27),LEN([1]!GetExtension(D27))-1))</f>
        <v>DLL</v>
      </c>
      <c r="H27" s="2" t="b">
        <f t="shared" si="10"/>
        <v>1</v>
      </c>
      <c r="I27" s="2" t="b">
        <f t="shared" si="2"/>
        <v>0</v>
      </c>
      <c r="J27" s="2" t="b">
        <f t="shared" si="3"/>
        <v>0</v>
      </c>
      <c r="K27" s="2" t="str">
        <f>IF(H27,[1]!GetVersionInfo_WW(D27,3),"")</f>
        <v>1, 1, 0, 2</v>
      </c>
      <c r="L27" s="2" t="str">
        <f>IF(H27,[1]!GetVersionInfo_WW(CONCATENATE([1]!AddBackslash(WWBin),F27),3),"")</f>
        <v>1, 1, 0, 2</v>
      </c>
      <c r="M27" s="2" t="b">
        <f t="shared" si="4"/>
        <v>1</v>
      </c>
      <c r="N27" s="2" t="s">
        <v>70</v>
      </c>
      <c r="O27" s="3" t="str">
        <f t="shared" si="6"/>
        <v>SafeMemCpy_WW.H</v>
      </c>
      <c r="P27" s="4">
        <f>IF(H27,[1]!dtmFileDateInfo(CONCATENATE(WWInclude,N27)),"")</f>
        <v>42841.503530092596</v>
      </c>
      <c r="Q27" s="5"/>
      <c r="R27" s="2" t="str">
        <f>IF(H27,CONCATENATE([1]!AddBackslash(WWBin),F27),"")</f>
        <v>C:\bin\SafeMemCpy.dll</v>
      </c>
      <c r="S27" s="2" t="str">
        <f t="shared" si="7"/>
        <v>C:\Users\DAVE\Documents\Programming\Visual_Studio_6\EXE\Console\SoundOff\Debug\SafeMemCpy.dll</v>
      </c>
      <c r="T27" s="2" t="str">
        <f t="shared" si="8"/>
        <v>call XCopyF.CMD C:\bin\SafeMemCpy.dll C:\Users\DAVE\Documents\Programming\Visual_Studio_6\EXE\Console\SoundOff\Debug\SafeMemCpy.dll</v>
      </c>
    </row>
    <row r="28" spans="1:20" x14ac:dyDescent="0.25">
      <c r="A28" s="1" t="s">
        <v>26</v>
      </c>
      <c r="B28" s="1">
        <f t="shared" si="9"/>
        <v>33</v>
      </c>
      <c r="C28" s="1">
        <f t="shared" si="0"/>
        <v>65</v>
      </c>
      <c r="D28" s="1" t="str">
        <f t="shared" si="11"/>
        <v>C:\Windows\SysWOW64\oleaut32.dll</v>
      </c>
      <c r="E28" s="1" t="str">
        <f>[1]!GetFolder(D28)</f>
        <v>C:\Windows\SysWOW64</v>
      </c>
      <c r="F28" s="2" t="str">
        <f>[1]!GetFile(D28)</f>
        <v>oleaut32.dll</v>
      </c>
      <c r="G28" s="2" t="str">
        <f>UPPER(RIGHT([1]!GetExtension(D28),LEN([1]!GetExtension(D28))-1))</f>
        <v>DLL</v>
      </c>
      <c r="H28" s="2" t="b">
        <f t="shared" si="10"/>
        <v>0</v>
      </c>
      <c r="I28" s="2" t="b">
        <f t="shared" si="2"/>
        <v>1</v>
      </c>
      <c r="J28" s="2" t="b">
        <f t="shared" si="3"/>
        <v>0</v>
      </c>
      <c r="K28" s="2" t="str">
        <f>IF(H28,[1]!GetVersionInfo_WW(D28,3),"")</f>
        <v/>
      </c>
      <c r="L28" s="2" t="str">
        <f>IF(H28,[1]!GetVersionInfo_WW(CONCATENATE([1]!AddBackslash(WWBin),F28),3),"")</f>
        <v/>
      </c>
      <c r="M28" s="2" t="str">
        <f t="shared" si="4"/>
        <v/>
      </c>
      <c r="N28" s="2" t="str">
        <f t="shared" si="5"/>
        <v/>
      </c>
      <c r="O28" s="3" t="str">
        <f t="shared" si="6"/>
        <v/>
      </c>
      <c r="P28" s="4" t="str">
        <f>IF(H28,[1]!dtmFileDateInfo(CONCATENATE(WWInclude,N28)),"")</f>
        <v/>
      </c>
      <c r="Q28" s="5"/>
      <c r="R28" s="2" t="str">
        <f>IF(H28,CONCATENATE([1]!AddBackslash(WWBin),F28),"")</f>
        <v/>
      </c>
      <c r="S28" s="2" t="str">
        <f t="shared" si="7"/>
        <v/>
      </c>
      <c r="T28" s="2" t="str">
        <f t="shared" si="8"/>
        <v/>
      </c>
    </row>
    <row r="29" spans="1:20" x14ac:dyDescent="0.25">
      <c r="A29" s="1" t="s">
        <v>27</v>
      </c>
      <c r="B29" s="1">
        <f t="shared" si="9"/>
        <v>33</v>
      </c>
      <c r="C29" s="1">
        <f t="shared" si="0"/>
        <v>62</v>
      </c>
      <c r="D29" s="1" t="str">
        <f t="shared" si="11"/>
        <v>C:\Windows\SysWOW64\ole32.dll</v>
      </c>
      <c r="E29" s="1" t="str">
        <f>[1]!GetFolder(D29)</f>
        <v>C:\Windows\SysWOW64</v>
      </c>
      <c r="F29" s="2" t="str">
        <f>[1]!GetFile(D29)</f>
        <v>ole32.dll</v>
      </c>
      <c r="G29" s="2" t="str">
        <f>UPPER(RIGHT([1]!GetExtension(D29),LEN([1]!GetExtension(D29))-1))</f>
        <v>DLL</v>
      </c>
      <c r="H29" s="2" t="b">
        <f t="shared" si="10"/>
        <v>0</v>
      </c>
      <c r="I29" s="2" t="b">
        <f t="shared" si="2"/>
        <v>1</v>
      </c>
      <c r="J29" s="2" t="b">
        <f t="shared" si="3"/>
        <v>0</v>
      </c>
      <c r="K29" s="2" t="str">
        <f>IF(H29,[1]!GetVersionInfo_WW(D29,3),"")</f>
        <v/>
      </c>
      <c r="L29" s="2" t="str">
        <f>IF(H29,[1]!GetVersionInfo_WW(CONCATENATE([1]!AddBackslash(WWBin),F29),3),"")</f>
        <v/>
      </c>
      <c r="M29" s="2" t="str">
        <f t="shared" si="4"/>
        <v/>
      </c>
      <c r="N29" s="2" t="str">
        <f t="shared" si="5"/>
        <v/>
      </c>
      <c r="O29" s="3" t="str">
        <f t="shared" si="6"/>
        <v/>
      </c>
      <c r="P29" s="4" t="str">
        <f>IF(H29,[1]!dtmFileDateInfo(CONCATENATE(WWInclude,N29)),"")</f>
        <v/>
      </c>
      <c r="Q29" s="5"/>
      <c r="R29" s="2" t="str">
        <f>IF(H29,CONCATENATE([1]!AddBackslash(WWBin),F29),"")</f>
        <v/>
      </c>
      <c r="S29" s="2" t="str">
        <f t="shared" si="7"/>
        <v/>
      </c>
      <c r="T29" s="2" t="str">
        <f t="shared" si="8"/>
        <v/>
      </c>
    </row>
    <row r="30" spans="1:20" x14ac:dyDescent="0.25">
      <c r="A30" s="1" t="s">
        <v>28</v>
      </c>
      <c r="B30" s="1">
        <f t="shared" si="9"/>
        <v>33</v>
      </c>
      <c r="C30" s="1">
        <f t="shared" si="0"/>
        <v>53</v>
      </c>
      <c r="D30" s="1" t="str">
        <f t="shared" si="11"/>
        <v>C:\bin\WWDatelib.dll</v>
      </c>
      <c r="E30" s="1" t="str">
        <f>[1]!GetFolder(D30)</f>
        <v>C:\bin</v>
      </c>
      <c r="F30" s="2" t="str">
        <f>[1]!GetFile(D30)</f>
        <v>WWDatelib.dll</v>
      </c>
      <c r="G30" s="2" t="str">
        <f>UPPER(RIGHT([1]!GetExtension(D30),LEN([1]!GetExtension(D30))-1))</f>
        <v>DLL</v>
      </c>
      <c r="H30" s="2" t="b">
        <f t="shared" si="10"/>
        <v>1</v>
      </c>
      <c r="I30" s="2" t="b">
        <f t="shared" si="2"/>
        <v>0</v>
      </c>
      <c r="J30" s="2" t="b">
        <f t="shared" si="3"/>
        <v>0</v>
      </c>
      <c r="K30" s="2" t="str">
        <f>IF(H30,[1]!GetVersionInfo_WW(D30,3),"")</f>
        <v>3, 1, 136, 1</v>
      </c>
      <c r="L30" s="2" t="str">
        <f>IF(H30,[1]!GetVersionInfo_WW(CONCATENATE([1]!AddBackslash(WWBin),F30),3),"")</f>
        <v>3, 1, 136, 1</v>
      </c>
      <c r="M30" s="2" t="b">
        <f t="shared" si="4"/>
        <v>1</v>
      </c>
      <c r="N30" s="2" t="str">
        <f t="shared" si="5"/>
        <v>WWDatelib.H</v>
      </c>
      <c r="O30" s="3" t="s">
        <v>78</v>
      </c>
      <c r="P30" s="4">
        <f>IF(H30,[1]!dtmFileDateInfo(CONCATENATE(WWInclude,N30)),"")</f>
        <v>0</v>
      </c>
      <c r="Q30" s="5"/>
      <c r="R30" s="2" t="str">
        <f>IF(H30,CONCATENATE([1]!AddBackslash(WWBin),F30),"")</f>
        <v>C:\bin\WWDatelib.dll</v>
      </c>
      <c r="S30" s="2" t="str">
        <f t="shared" si="7"/>
        <v>C:\Users\DAVE\Documents\Programming\Visual_Studio_6\EXE\Console\SoundOff\Debug\WWDatelib.dll</v>
      </c>
      <c r="T30" s="2" t="str">
        <f t="shared" si="8"/>
        <v>call XCopyF.CMD C:\bin\WWDatelib.dll C:\Users\DAVE\Documents\Programming\Visual_Studio_6\EXE\Console\SoundOff\Debug\WWDatelib.dll</v>
      </c>
    </row>
    <row r="31" spans="1:20" x14ac:dyDescent="0.25">
      <c r="A31" s="1" t="s">
        <v>29</v>
      </c>
      <c r="B31" s="1">
        <f t="shared" si="9"/>
        <v>33</v>
      </c>
      <c r="C31" s="1">
        <f t="shared" si="0"/>
        <v>73</v>
      </c>
      <c r="D31" s="1" t="str">
        <f t="shared" si="11"/>
        <v>C:\bin\WWSYMBOL\WWKernelLibWrapper32.dll</v>
      </c>
      <c r="E31" s="1" t="str">
        <f>[1]!GetFolder(D31)</f>
        <v>C:\bin\WWSYMBOL</v>
      </c>
      <c r="F31" s="2" t="str">
        <f>[1]!GetFile(D31)</f>
        <v>WWKernelLibWrapper32.dll</v>
      </c>
      <c r="G31" s="2" t="str">
        <f>UPPER(RIGHT([1]!GetExtension(D31),LEN([1]!GetExtension(D31))-1))</f>
        <v>DLL</v>
      </c>
      <c r="H31" s="2" t="b">
        <f t="shared" si="10"/>
        <v>1</v>
      </c>
      <c r="I31" s="2" t="b">
        <f t="shared" si="2"/>
        <v>0</v>
      </c>
      <c r="J31" s="2" t="b">
        <f t="shared" si="3"/>
        <v>0</v>
      </c>
      <c r="K31" s="2" t="str">
        <f>IF(H31,[1]!GetVersionInfo_WW(D31,3),"")</f>
        <v>2.0.0.2</v>
      </c>
      <c r="L31" s="2" t="str">
        <f>IF(H31,[1]!GetVersionInfo_WW(CONCATENATE([1]!AddBackslash(WWBin),F31),3),"")</f>
        <v>2.0.0.2</v>
      </c>
      <c r="M31" s="2" t="b">
        <f t="shared" si="4"/>
        <v>1</v>
      </c>
      <c r="N31" s="2" t="str">
        <f t="shared" si="5"/>
        <v>WWKernelLibWrapper.H</v>
      </c>
      <c r="O31" s="3" t="str">
        <f t="shared" si="6"/>
        <v>WWKernelLibWrapper.H</v>
      </c>
      <c r="P31" s="4">
        <f>IF(H31,[1]!dtmFileDateInfo(CONCATENATE(WWInclude,N31)),"")</f>
        <v>42780.357118055559</v>
      </c>
      <c r="Q31" s="5"/>
      <c r="R31" s="2" t="str">
        <f>IF(H31,CONCATENATE([1]!AddBackslash(WWBin),F31),"")</f>
        <v>C:\bin\WWKernelLibWrapper32.dll</v>
      </c>
      <c r="S31" s="2" t="str">
        <f t="shared" si="7"/>
        <v>C:\Users\DAVE\Documents\Programming\Visual_Studio_6\EXE\Console\SoundOff\Debug\WWKernelLibWrapper32.dll</v>
      </c>
      <c r="T31" s="2" t="str">
        <f t="shared" si="8"/>
        <v>call XCopyF.CMD C:\bin\WWKernelLibWrapper32.dll C:\Users\DAVE\Documents\Programming\Visual_Studio_6\EXE\Console\SoundOff\Debug\WWKernelLibWrapper32.dll</v>
      </c>
    </row>
    <row r="32" spans="1:20" x14ac:dyDescent="0.25">
      <c r="A32" s="1" t="s">
        <v>30</v>
      </c>
      <c r="B32" s="1">
        <f t="shared" si="9"/>
        <v>33</v>
      </c>
      <c r="C32" s="1">
        <f t="shared" si="0"/>
        <v>64</v>
      </c>
      <c r="D32" s="1" t="str">
        <f t="shared" si="11"/>
        <v>C:\Windows\SysWOW64\version.dll</v>
      </c>
      <c r="E32" s="1" t="str">
        <f>[1]!GetFolder(D32)</f>
        <v>C:\Windows\SysWOW64</v>
      </c>
      <c r="F32" s="2" t="str">
        <f>[1]!GetFile(D32)</f>
        <v>version.dll</v>
      </c>
      <c r="G32" s="2" t="str">
        <f>UPPER(RIGHT([1]!GetExtension(D32),LEN([1]!GetExtension(D32))-1))</f>
        <v>DLL</v>
      </c>
      <c r="H32" s="2" t="b">
        <f t="shared" si="10"/>
        <v>0</v>
      </c>
      <c r="I32" s="2" t="b">
        <f t="shared" si="2"/>
        <v>1</v>
      </c>
      <c r="J32" s="2" t="b">
        <f t="shared" si="3"/>
        <v>0</v>
      </c>
      <c r="K32" s="2" t="str">
        <f>IF(H32,[1]!GetVersionInfo_WW(D32,3),"")</f>
        <v/>
      </c>
      <c r="L32" s="2" t="str">
        <f>IF(H32,[1]!GetVersionInfo_WW(CONCATENATE([1]!AddBackslash(WWBin),F32),3),"")</f>
        <v/>
      </c>
      <c r="M32" s="2" t="str">
        <f t="shared" si="4"/>
        <v/>
      </c>
      <c r="N32" s="2" t="str">
        <f t="shared" si="5"/>
        <v/>
      </c>
      <c r="O32" s="3" t="str">
        <f t="shared" si="6"/>
        <v/>
      </c>
      <c r="P32" s="4" t="str">
        <f>IF(H32,[1]!dtmFileDateInfo(CONCATENATE(WWInclude,N32)),"")</f>
        <v/>
      </c>
      <c r="Q32" s="5"/>
      <c r="R32" s="2" t="str">
        <f>IF(H32,CONCATENATE([1]!AddBackslash(WWBin),F32),"")</f>
        <v/>
      </c>
      <c r="S32" s="2" t="str">
        <f t="shared" si="7"/>
        <v/>
      </c>
      <c r="T32" s="2" t="str">
        <f t="shared" si="8"/>
        <v/>
      </c>
    </row>
    <row r="33" spans="1:20" x14ac:dyDescent="0.25">
      <c r="A33" s="1" t="s">
        <v>31</v>
      </c>
      <c r="B33" s="1">
        <f t="shared" si="9"/>
        <v>33</v>
      </c>
      <c r="C33" s="1">
        <f t="shared" si="0"/>
        <v>62</v>
      </c>
      <c r="D33" s="1" t="str">
        <f t="shared" si="11"/>
        <v>C:\Windows\SysWOW64\winmm.dll</v>
      </c>
      <c r="E33" s="1" t="str">
        <f>[1]!GetFolder(D33)</f>
        <v>C:\Windows\SysWOW64</v>
      </c>
      <c r="F33" s="2" t="str">
        <f>[1]!GetFile(D33)</f>
        <v>winmm.dll</v>
      </c>
      <c r="G33" s="2" t="str">
        <f>UPPER(RIGHT([1]!GetExtension(D33),LEN([1]!GetExtension(D33))-1))</f>
        <v>DLL</v>
      </c>
      <c r="H33" s="2" t="b">
        <f t="shared" si="10"/>
        <v>0</v>
      </c>
      <c r="I33" s="2" t="b">
        <f t="shared" si="2"/>
        <v>1</v>
      </c>
      <c r="J33" s="2" t="b">
        <f t="shared" si="3"/>
        <v>0</v>
      </c>
      <c r="K33" s="2" t="str">
        <f>IF(H33,[1]!GetVersionInfo_WW(D33,3),"")</f>
        <v/>
      </c>
      <c r="L33" s="2" t="str">
        <f>IF(H33,[1]!GetVersionInfo_WW(CONCATENATE([1]!AddBackslash(WWBin),F33),3),"")</f>
        <v/>
      </c>
      <c r="M33" s="2" t="str">
        <f t="shared" si="4"/>
        <v/>
      </c>
      <c r="N33" s="2" t="str">
        <f t="shared" si="5"/>
        <v/>
      </c>
      <c r="O33" s="3" t="str">
        <f t="shared" si="6"/>
        <v/>
      </c>
      <c r="P33" s="4" t="str">
        <f>IF(H33,[1]!dtmFileDateInfo(CONCATENATE(WWInclude,N33)),"")</f>
        <v/>
      </c>
      <c r="Q33" s="5"/>
      <c r="R33" s="2" t="str">
        <f>IF(H33,CONCATENATE([1]!AddBackslash(WWBin),F33),"")</f>
        <v/>
      </c>
      <c r="S33" s="2" t="str">
        <f t="shared" si="7"/>
        <v/>
      </c>
      <c r="T33" s="2" t="str">
        <f t="shared" si="8"/>
        <v/>
      </c>
    </row>
    <row r="34" spans="1:20" x14ac:dyDescent="0.25">
      <c r="A34" s="1" t="s">
        <v>32</v>
      </c>
      <c r="B34" s="1">
        <f t="shared" si="9"/>
        <v>33</v>
      </c>
      <c r="C34" s="1">
        <f t="shared" si="0"/>
        <v>62</v>
      </c>
      <c r="D34" s="1" t="str">
        <f t="shared" si="11"/>
        <v>C:\Windows\SysWOW64\imm32.dll</v>
      </c>
      <c r="E34" s="1" t="str">
        <f>[1]!GetFolder(D34)</f>
        <v>C:\Windows\SysWOW64</v>
      </c>
      <c r="F34" s="2" t="str">
        <f>[1]!GetFile(D34)</f>
        <v>imm32.dll</v>
      </c>
      <c r="G34" s="2" t="str">
        <f>UPPER(RIGHT([1]!GetExtension(D34),LEN([1]!GetExtension(D34))-1))</f>
        <v>DLL</v>
      </c>
      <c r="H34" s="2" t="b">
        <f t="shared" si="10"/>
        <v>0</v>
      </c>
      <c r="I34" s="2" t="b">
        <f t="shared" si="2"/>
        <v>1</v>
      </c>
      <c r="J34" s="2" t="b">
        <f t="shared" si="3"/>
        <v>0</v>
      </c>
      <c r="K34" s="2" t="str">
        <f>IF(H34,[1]!GetVersionInfo_WW(D34,3),"")</f>
        <v/>
      </c>
      <c r="L34" s="2" t="str">
        <f>IF(H34,[1]!GetVersionInfo_WW(CONCATENATE([1]!AddBackslash(WWBin),F34),3),"")</f>
        <v/>
      </c>
      <c r="M34" s="2" t="str">
        <f t="shared" si="4"/>
        <v/>
      </c>
      <c r="N34" s="2" t="str">
        <f t="shared" si="5"/>
        <v/>
      </c>
      <c r="O34" s="3" t="str">
        <f t="shared" si="6"/>
        <v/>
      </c>
      <c r="P34" s="4" t="str">
        <f>IF(H34,[1]!dtmFileDateInfo(CONCATENATE(WWInclude,N34)),"")</f>
        <v/>
      </c>
      <c r="Q34" s="5"/>
      <c r="R34" s="2" t="str">
        <f>IF(H34,CONCATENATE([1]!AddBackslash(WWBin),F34),"")</f>
        <v/>
      </c>
      <c r="S34" s="2" t="str">
        <f t="shared" si="7"/>
        <v/>
      </c>
      <c r="T34" s="2" t="str">
        <f t="shared" si="8"/>
        <v/>
      </c>
    </row>
    <row r="35" spans="1:20" x14ac:dyDescent="0.25">
      <c r="A35" s="1" t="s">
        <v>33</v>
      </c>
      <c r="B35" s="1">
        <f t="shared" si="9"/>
        <v>33</v>
      </c>
      <c r="C35" s="1">
        <f t="shared" si="0"/>
        <v>62</v>
      </c>
      <c r="D35" s="1" t="str">
        <f t="shared" si="11"/>
        <v>C:\Windows\SysWOW64\msctf.dll</v>
      </c>
      <c r="E35" s="1" t="str">
        <f>[1]!GetFolder(D35)</f>
        <v>C:\Windows\SysWOW64</v>
      </c>
      <c r="F35" s="2" t="str">
        <f>[1]!GetFile(D35)</f>
        <v>msctf.dll</v>
      </c>
      <c r="G35" s="2" t="str">
        <f>UPPER(RIGHT([1]!GetExtension(D35),LEN([1]!GetExtension(D35))-1))</f>
        <v>DLL</v>
      </c>
      <c r="H35" s="2" t="b">
        <f t="shared" si="10"/>
        <v>0</v>
      </c>
      <c r="I35" s="2" t="b">
        <f t="shared" si="2"/>
        <v>1</v>
      </c>
      <c r="J35" s="2" t="b">
        <f t="shared" si="3"/>
        <v>0</v>
      </c>
      <c r="K35" s="2" t="str">
        <f>IF(H35,[1]!GetVersionInfo_WW(D35,3),"")</f>
        <v/>
      </c>
      <c r="L35" s="2" t="str">
        <f>IF(H35,[1]!GetVersionInfo_WW(CONCATENATE([1]!AddBackslash(WWBin),F35),3),"")</f>
        <v/>
      </c>
      <c r="M35" s="2" t="str">
        <f t="shared" si="4"/>
        <v/>
      </c>
      <c r="N35" s="2" t="str">
        <f t="shared" si="5"/>
        <v/>
      </c>
      <c r="O35" s="3" t="str">
        <f t="shared" si="6"/>
        <v/>
      </c>
      <c r="P35" s="4" t="str">
        <f>IF(H35,[1]!dtmFileDateInfo(CONCATENATE(WWInclude,N35)),"")</f>
        <v/>
      </c>
      <c r="Q35" s="5"/>
      <c r="R35" s="2" t="str">
        <f>IF(H35,CONCATENATE([1]!AddBackslash(WWBin),F35),"")</f>
        <v/>
      </c>
      <c r="S35" s="2" t="str">
        <f t="shared" si="7"/>
        <v/>
      </c>
      <c r="T35" s="2" t="str">
        <f t="shared" si="8"/>
        <v/>
      </c>
    </row>
    <row r="36" spans="1:20" x14ac:dyDescent="0.25">
      <c r="A36" s="1" t="s">
        <v>34</v>
      </c>
      <c r="B36" s="1">
        <f t="shared" si="9"/>
        <v>33</v>
      </c>
      <c r="C36" s="1">
        <f t="shared" si="0"/>
        <v>65</v>
      </c>
      <c r="D36" s="1" t="str">
        <f t="shared" si="11"/>
        <v>C:\Program Files\Prio\prio32.dll</v>
      </c>
      <c r="E36" s="1" t="str">
        <f>[1]!GetFolder(D36)</f>
        <v>C:\Program Files\Prio</v>
      </c>
      <c r="F36" s="2" t="str">
        <f>[1]!GetFile(D36)</f>
        <v>prio32.dll</v>
      </c>
      <c r="G36" s="2" t="str">
        <f>UPPER(RIGHT([1]!GetExtension(D36),LEN([1]!GetExtension(D36))-1))</f>
        <v>DLL</v>
      </c>
      <c r="H36" s="2" t="b">
        <f t="shared" si="10"/>
        <v>0</v>
      </c>
      <c r="I36" s="2" t="b">
        <f t="shared" si="2"/>
        <v>0</v>
      </c>
      <c r="J36" s="2" t="b">
        <f t="shared" si="3"/>
        <v>1</v>
      </c>
      <c r="K36" s="2" t="str">
        <f>IF(H36,[1]!GetVersionInfo_WW(D36,3),"")</f>
        <v/>
      </c>
      <c r="L36" s="2" t="str">
        <f>IF(H36,[1]!GetVersionInfo_WW(CONCATENATE([1]!AddBackslash(WWBin),F36),3),"")</f>
        <v/>
      </c>
      <c r="M36" s="2" t="str">
        <f t="shared" si="4"/>
        <v/>
      </c>
      <c r="N36" s="2" t="str">
        <f t="shared" si="5"/>
        <v/>
      </c>
      <c r="O36" s="3" t="str">
        <f t="shared" si="6"/>
        <v/>
      </c>
      <c r="P36" s="4" t="str">
        <f>IF(H36,[1]!dtmFileDateInfo(CONCATENATE(WWInclude,N36)),"")</f>
        <v/>
      </c>
      <c r="Q36" s="5"/>
      <c r="R36" s="2" t="str">
        <f>IF(H36,CONCATENATE([1]!AddBackslash(WWBin),F36),"")</f>
        <v/>
      </c>
      <c r="S36" s="2" t="str">
        <f t="shared" si="7"/>
        <v/>
      </c>
      <c r="T36" s="2" t="str">
        <f t="shared" si="8"/>
        <v/>
      </c>
    </row>
    <row r="37" spans="1:20" x14ac:dyDescent="0.25">
      <c r="A37" s="1" t="s">
        <v>35</v>
      </c>
      <c r="B37" s="1">
        <f t="shared" si="9"/>
        <v>33</v>
      </c>
      <c r="C37" s="1">
        <f t="shared" si="0"/>
        <v>65</v>
      </c>
      <c r="D37" s="1" t="str">
        <f t="shared" ref="D37" si="12">MID(A37,B37,C37-B37)</f>
        <v>C:\Windows\SysWOW64\MMDevAPI.dll</v>
      </c>
      <c r="E37" s="1" t="str">
        <f>[1]!GetFolder(D37)</f>
        <v>C:\Windows\SysWOW64</v>
      </c>
      <c r="F37" s="2" t="str">
        <f>[1]!GetFile(D37)</f>
        <v>MMDevAPI.dll</v>
      </c>
      <c r="G37" s="2" t="str">
        <f>UPPER(RIGHT([1]!GetExtension(D37),LEN([1]!GetExtension(D37))-1))</f>
        <v>DLL</v>
      </c>
      <c r="H37" s="2" t="b">
        <f t="shared" si="10"/>
        <v>0</v>
      </c>
      <c r="I37" s="2" t="b">
        <f t="shared" si="2"/>
        <v>1</v>
      </c>
      <c r="J37" s="2" t="b">
        <f t="shared" si="3"/>
        <v>0</v>
      </c>
      <c r="K37" s="2" t="str">
        <f>IF(H37,[1]!GetVersionInfo_WW(D37,3),"")</f>
        <v/>
      </c>
      <c r="L37" s="2" t="str">
        <f>IF(H37,[1]!GetVersionInfo_WW(CONCATENATE([1]!AddBackslash(WWBin),F37),3),"")</f>
        <v/>
      </c>
      <c r="M37" s="2" t="str">
        <f t="shared" si="4"/>
        <v/>
      </c>
      <c r="N37" s="2" t="str">
        <f t="shared" si="5"/>
        <v/>
      </c>
      <c r="O37" s="3" t="str">
        <f t="shared" si="6"/>
        <v/>
      </c>
      <c r="P37" s="4" t="str">
        <f>IF(H37,[1]!dtmFileDateInfo(CONCATENATE(WWInclude,N37)),"")</f>
        <v/>
      </c>
      <c r="Q37" s="5"/>
      <c r="R37" s="2" t="str">
        <f>IF(H37,CONCATENATE([1]!AddBackslash(WWBin),F37),"")</f>
        <v/>
      </c>
      <c r="S37" s="2" t="str">
        <f t="shared" si="7"/>
        <v/>
      </c>
      <c r="T37" s="2" t="str">
        <f t="shared" si="8"/>
        <v/>
      </c>
    </row>
    <row r="38" spans="1:20" x14ac:dyDescent="0.25">
      <c r="A38" s="1" t="s">
        <v>36</v>
      </c>
      <c r="B38" s="1">
        <f t="shared" si="9"/>
        <v>33</v>
      </c>
      <c r="C38" s="1">
        <f t="shared" si="0"/>
        <v>64</v>
      </c>
      <c r="D38" s="1" t="str">
        <f t="shared" ref="D38:D49" si="13">MID(A38,B38,C38-B38)</f>
        <v>C:\Windows\SysWOW64\propsys.dll</v>
      </c>
      <c r="E38" s="1" t="str">
        <f>[1]!GetFolder(D38)</f>
        <v>C:\Windows\SysWOW64</v>
      </c>
      <c r="F38" s="2" t="str">
        <f>[1]!GetFile(D38)</f>
        <v>propsys.dll</v>
      </c>
      <c r="G38" s="2" t="str">
        <f>UPPER(RIGHT([1]!GetExtension(D38),LEN([1]!GetExtension(D38))-1))</f>
        <v>DLL</v>
      </c>
      <c r="H38" s="2" t="b">
        <f t="shared" si="10"/>
        <v>0</v>
      </c>
      <c r="I38" s="2" t="b">
        <f t="shared" si="2"/>
        <v>1</v>
      </c>
      <c r="J38" s="2" t="b">
        <f t="shared" si="3"/>
        <v>0</v>
      </c>
      <c r="K38" s="2" t="str">
        <f>IF(H38,[1]!GetVersionInfo_WW(D38,3),"")</f>
        <v/>
      </c>
      <c r="L38" s="2" t="str">
        <f>IF(H38,[1]!GetVersionInfo_WW(CONCATENATE([1]!AddBackslash(WWBin),F38),3),"")</f>
        <v/>
      </c>
      <c r="M38" s="2" t="str">
        <f t="shared" si="4"/>
        <v/>
      </c>
      <c r="N38" s="2" t="str">
        <f t="shared" si="5"/>
        <v/>
      </c>
      <c r="O38" s="3" t="str">
        <f t="shared" si="6"/>
        <v/>
      </c>
      <c r="P38" s="4" t="str">
        <f>IF(H38,[1]!dtmFileDateInfo(CONCATENATE(WWInclude,N38)),"")</f>
        <v/>
      </c>
      <c r="Q38" s="5"/>
      <c r="R38" s="2" t="str">
        <f>IF(H38,CONCATENATE([1]!AddBackslash(WWBin),F38),"")</f>
        <v/>
      </c>
      <c r="S38" s="2" t="str">
        <f t="shared" si="7"/>
        <v/>
      </c>
      <c r="T38" s="2" t="str">
        <f t="shared" si="8"/>
        <v/>
      </c>
    </row>
    <row r="39" spans="1:20" x14ac:dyDescent="0.25">
      <c r="A39" s="1" t="s">
        <v>37</v>
      </c>
      <c r="B39" s="1">
        <f t="shared" si="9"/>
        <v>33</v>
      </c>
      <c r="C39" s="1">
        <f t="shared" si="0"/>
        <v>63</v>
      </c>
      <c r="D39" s="1" t="str">
        <f t="shared" si="13"/>
        <v>C:\Windows\SysWOW64\wdmaud.drv</v>
      </c>
      <c r="E39" s="1" t="str">
        <f>[1]!GetFolder(D39)</f>
        <v>C:\Windows\SysWOW64</v>
      </c>
      <c r="F39" s="2" t="str">
        <f>[1]!GetFile(D39)</f>
        <v>wdmaud.drv</v>
      </c>
      <c r="G39" s="2" t="str">
        <f>UPPER(RIGHT([1]!GetExtension(D39),LEN([1]!GetExtension(D39))-1))</f>
        <v>DRV</v>
      </c>
      <c r="H39" s="2" t="b">
        <f t="shared" si="10"/>
        <v>0</v>
      </c>
      <c r="I39" s="2" t="b">
        <f t="shared" si="2"/>
        <v>1</v>
      </c>
      <c r="J39" s="2" t="b">
        <f t="shared" si="3"/>
        <v>0</v>
      </c>
      <c r="K39" s="2" t="str">
        <f>IF(H39,[1]!GetVersionInfo_WW(D39,3),"")</f>
        <v/>
      </c>
      <c r="L39" s="2" t="str">
        <f>IF(H39,[1]!GetVersionInfo_WW(CONCATENATE([1]!AddBackslash(WWBin),F39),3),"")</f>
        <v/>
      </c>
      <c r="M39" s="2" t="str">
        <f t="shared" si="4"/>
        <v/>
      </c>
      <c r="N39" s="2" t="str">
        <f t="shared" si="5"/>
        <v/>
      </c>
      <c r="O39" s="3" t="str">
        <f t="shared" si="6"/>
        <v/>
      </c>
      <c r="P39" s="4" t="str">
        <f>IF(H39,[1]!dtmFileDateInfo(CONCATENATE(WWInclude,N39)),"")</f>
        <v/>
      </c>
      <c r="Q39" s="5"/>
      <c r="R39" s="2" t="str">
        <f>IF(H39,CONCATENATE([1]!AddBackslash(WWBin),F39),"")</f>
        <v/>
      </c>
      <c r="S39" s="2" t="str">
        <f t="shared" si="7"/>
        <v/>
      </c>
      <c r="T39" s="2" t="str">
        <f t="shared" si="8"/>
        <v/>
      </c>
    </row>
    <row r="40" spans="1:20" x14ac:dyDescent="0.25">
      <c r="A40" s="1" t="s">
        <v>38</v>
      </c>
      <c r="B40" s="1">
        <f t="shared" si="9"/>
        <v>33</v>
      </c>
      <c r="C40" s="1">
        <f t="shared" si="0"/>
        <v>63</v>
      </c>
      <c r="D40" s="1" t="str">
        <f t="shared" si="13"/>
        <v>C:\Windows\SysWOW64\ksuser.dll</v>
      </c>
      <c r="E40" s="1" t="str">
        <f>[1]!GetFolder(D40)</f>
        <v>C:\Windows\SysWOW64</v>
      </c>
      <c r="F40" s="2" t="str">
        <f>[1]!GetFile(D40)</f>
        <v>ksuser.dll</v>
      </c>
      <c r="G40" s="2" t="str">
        <f>UPPER(RIGHT([1]!GetExtension(D40),LEN([1]!GetExtension(D40))-1))</f>
        <v>DLL</v>
      </c>
      <c r="H40" s="2" t="b">
        <f t="shared" si="10"/>
        <v>0</v>
      </c>
      <c r="I40" s="2" t="b">
        <f t="shared" si="2"/>
        <v>1</v>
      </c>
      <c r="J40" s="2" t="b">
        <f t="shared" si="3"/>
        <v>0</v>
      </c>
      <c r="K40" s="2" t="str">
        <f>IF(H40,[1]!GetVersionInfo_WW(D40,3),"")</f>
        <v/>
      </c>
      <c r="L40" s="2" t="str">
        <f>IF(H40,[1]!GetVersionInfo_WW(CONCATENATE([1]!AddBackslash(WWBin),F40),3),"")</f>
        <v/>
      </c>
      <c r="M40" s="2" t="str">
        <f t="shared" si="4"/>
        <v/>
      </c>
      <c r="N40" s="2" t="str">
        <f t="shared" si="5"/>
        <v/>
      </c>
      <c r="O40" s="3" t="str">
        <f t="shared" si="6"/>
        <v/>
      </c>
      <c r="P40" s="4" t="str">
        <f>IF(H40,[1]!dtmFileDateInfo(CONCATENATE(WWInclude,N40)),"")</f>
        <v/>
      </c>
      <c r="Q40" s="5"/>
      <c r="R40" s="2" t="str">
        <f>IF(H40,CONCATENATE([1]!AddBackslash(WWBin),F40),"")</f>
        <v/>
      </c>
      <c r="S40" s="2" t="str">
        <f t="shared" si="7"/>
        <v/>
      </c>
      <c r="T40" s="2" t="str">
        <f t="shared" si="8"/>
        <v/>
      </c>
    </row>
    <row r="41" spans="1:20" x14ac:dyDescent="0.25">
      <c r="A41" s="1" t="s">
        <v>39</v>
      </c>
      <c r="B41" s="1">
        <f t="shared" si="9"/>
        <v>33</v>
      </c>
      <c r="C41" s="1">
        <f t="shared" si="0"/>
        <v>61</v>
      </c>
      <c r="D41" s="1" t="str">
        <f t="shared" si="13"/>
        <v>C:\Windows\SysWOW64\avrt.dll</v>
      </c>
      <c r="E41" s="1" t="str">
        <f>[1]!GetFolder(D41)</f>
        <v>C:\Windows\SysWOW64</v>
      </c>
      <c r="F41" s="2" t="str">
        <f>[1]!GetFile(D41)</f>
        <v>avrt.dll</v>
      </c>
      <c r="G41" s="2" t="str">
        <f>UPPER(RIGHT([1]!GetExtension(D41),LEN([1]!GetExtension(D41))-1))</f>
        <v>DLL</v>
      </c>
      <c r="H41" s="2" t="b">
        <f t="shared" si="10"/>
        <v>0</v>
      </c>
      <c r="I41" s="2" t="b">
        <f t="shared" si="2"/>
        <v>1</v>
      </c>
      <c r="J41" s="2" t="b">
        <f t="shared" si="3"/>
        <v>0</v>
      </c>
      <c r="K41" s="2" t="str">
        <f>IF(H41,[1]!GetVersionInfo_WW(D41,3),"")</f>
        <v/>
      </c>
      <c r="L41" s="2" t="str">
        <f>IF(H41,[1]!GetVersionInfo_WW(CONCATENATE([1]!AddBackslash(WWBin),F41),3),"")</f>
        <v/>
      </c>
      <c r="M41" s="2" t="str">
        <f t="shared" si="4"/>
        <v/>
      </c>
      <c r="N41" s="2" t="str">
        <f t="shared" si="5"/>
        <v/>
      </c>
      <c r="O41" s="3" t="str">
        <f t="shared" si="6"/>
        <v/>
      </c>
      <c r="P41" s="4" t="str">
        <f>IF(H41,[1]!dtmFileDateInfo(CONCATENATE(WWInclude,N41)),"")</f>
        <v/>
      </c>
      <c r="Q41" s="5"/>
      <c r="R41" s="2" t="str">
        <f>IF(H41,CONCATENATE([1]!AddBackslash(WWBin),F41),"")</f>
        <v/>
      </c>
      <c r="S41" s="2" t="str">
        <f t="shared" si="7"/>
        <v/>
      </c>
      <c r="T41" s="2" t="str">
        <f t="shared" si="8"/>
        <v/>
      </c>
    </row>
    <row r="42" spans="1:20" x14ac:dyDescent="0.25">
      <c r="A42" s="1" t="s">
        <v>40</v>
      </c>
      <c r="B42" s="1">
        <f t="shared" si="9"/>
        <v>33</v>
      </c>
      <c r="C42" s="1">
        <f t="shared" si="0"/>
        <v>65</v>
      </c>
      <c r="D42" s="1" t="str">
        <f t="shared" si="13"/>
        <v>C:\Windows\SysWOW64\setupapi.dll</v>
      </c>
      <c r="E42" s="1" t="str">
        <f>[1]!GetFolder(D42)</f>
        <v>C:\Windows\SysWOW64</v>
      </c>
      <c r="F42" s="2" t="str">
        <f>[1]!GetFile(D42)</f>
        <v>setupapi.dll</v>
      </c>
      <c r="G42" s="2" t="str">
        <f>UPPER(RIGHT([1]!GetExtension(D42),LEN([1]!GetExtension(D42))-1))</f>
        <v>DLL</v>
      </c>
      <c r="H42" s="2" t="b">
        <f t="shared" si="10"/>
        <v>0</v>
      </c>
      <c r="I42" s="2" t="b">
        <f t="shared" si="2"/>
        <v>1</v>
      </c>
      <c r="J42" s="2" t="b">
        <f t="shared" si="3"/>
        <v>0</v>
      </c>
      <c r="K42" s="2" t="str">
        <f>IF(H42,[1]!GetVersionInfo_WW(D42,3),"")</f>
        <v/>
      </c>
      <c r="L42" s="2" t="str">
        <f>IF(H42,[1]!GetVersionInfo_WW(CONCATENATE([1]!AddBackslash(WWBin),F42),3),"")</f>
        <v/>
      </c>
      <c r="M42" s="2" t="str">
        <f t="shared" si="4"/>
        <v/>
      </c>
      <c r="N42" s="2" t="str">
        <f t="shared" si="5"/>
        <v/>
      </c>
      <c r="O42" s="3" t="str">
        <f t="shared" si="6"/>
        <v/>
      </c>
      <c r="P42" s="4" t="str">
        <f>IF(H42,[1]!dtmFileDateInfo(CONCATENATE(WWInclude,N42)),"")</f>
        <v/>
      </c>
      <c r="Q42" s="5"/>
      <c r="R42" s="2" t="str">
        <f>IF(H42,CONCATENATE([1]!AddBackslash(WWBin),F42),"")</f>
        <v/>
      </c>
      <c r="S42" s="2" t="str">
        <f t="shared" si="7"/>
        <v/>
      </c>
      <c r="T42" s="2" t="str">
        <f t="shared" si="8"/>
        <v/>
      </c>
    </row>
    <row r="43" spans="1:20" x14ac:dyDescent="0.25">
      <c r="A43" s="1" t="s">
        <v>41</v>
      </c>
      <c r="B43" s="1">
        <f t="shared" si="9"/>
        <v>33</v>
      </c>
      <c r="C43" s="1">
        <f t="shared" si="0"/>
        <v>65</v>
      </c>
      <c r="D43" s="1" t="str">
        <f t="shared" si="13"/>
        <v>C:\Windows\SysWOW64\cfgmgr32.dll</v>
      </c>
      <c r="E43" s="1" t="str">
        <f>[1]!GetFolder(D43)</f>
        <v>C:\Windows\SysWOW64</v>
      </c>
      <c r="F43" s="2" t="str">
        <f>[1]!GetFile(D43)</f>
        <v>cfgmgr32.dll</v>
      </c>
      <c r="G43" s="2" t="str">
        <f>UPPER(RIGHT([1]!GetExtension(D43),LEN([1]!GetExtension(D43))-1))</f>
        <v>DLL</v>
      </c>
      <c r="H43" s="2" t="b">
        <f t="shared" si="10"/>
        <v>0</v>
      </c>
      <c r="I43" s="2" t="b">
        <f t="shared" si="2"/>
        <v>1</v>
      </c>
      <c r="J43" s="2" t="b">
        <f t="shared" si="3"/>
        <v>0</v>
      </c>
      <c r="K43" s="2" t="str">
        <f>IF(H43,[1]!GetVersionInfo_WW(D43,3),"")</f>
        <v/>
      </c>
      <c r="L43" s="2" t="str">
        <f>IF(H43,[1]!GetVersionInfo_WW(CONCATENATE([1]!AddBackslash(WWBin),F43),3),"")</f>
        <v/>
      </c>
      <c r="M43" s="2" t="str">
        <f t="shared" si="4"/>
        <v/>
      </c>
      <c r="N43" s="2" t="str">
        <f t="shared" si="5"/>
        <v/>
      </c>
      <c r="O43" s="3" t="str">
        <f t="shared" si="6"/>
        <v/>
      </c>
      <c r="P43" s="4" t="str">
        <f>IF(H43,[1]!dtmFileDateInfo(CONCATENATE(WWInclude,N43)),"")</f>
        <v/>
      </c>
      <c r="Q43" s="5"/>
      <c r="R43" s="2" t="str">
        <f>IF(H43,CONCATENATE([1]!AddBackslash(WWBin),F43),"")</f>
        <v/>
      </c>
      <c r="S43" s="2" t="str">
        <f t="shared" si="7"/>
        <v/>
      </c>
      <c r="T43" s="2" t="str">
        <f t="shared" si="8"/>
        <v/>
      </c>
    </row>
    <row r="44" spans="1:20" x14ac:dyDescent="0.25">
      <c r="A44" s="1" t="s">
        <v>42</v>
      </c>
      <c r="B44" s="1">
        <f t="shared" si="9"/>
        <v>33</v>
      </c>
      <c r="C44" s="1">
        <f t="shared" si="0"/>
        <v>63</v>
      </c>
      <c r="D44" s="1" t="str">
        <f t="shared" si="13"/>
        <v>C:\Windows\SysWOW64\devobj.dll</v>
      </c>
      <c r="E44" s="1" t="str">
        <f>[1]!GetFolder(D44)</f>
        <v>C:\Windows\SysWOW64</v>
      </c>
      <c r="F44" s="2" t="str">
        <f>[1]!GetFile(D44)</f>
        <v>devobj.dll</v>
      </c>
      <c r="G44" s="2" t="str">
        <f>UPPER(RIGHT([1]!GetExtension(D44),LEN([1]!GetExtension(D44))-1))</f>
        <v>DLL</v>
      </c>
      <c r="H44" s="2" t="b">
        <f t="shared" si="10"/>
        <v>0</v>
      </c>
      <c r="I44" s="2" t="b">
        <f t="shared" si="2"/>
        <v>1</v>
      </c>
      <c r="J44" s="2" t="b">
        <f t="shared" si="3"/>
        <v>0</v>
      </c>
      <c r="K44" s="2" t="str">
        <f>IF(H44,[1]!GetVersionInfo_WW(D44,3),"")</f>
        <v/>
      </c>
      <c r="L44" s="2" t="str">
        <f>IF(H44,[1]!GetVersionInfo_WW(CONCATENATE([1]!AddBackslash(WWBin),F44),3),"")</f>
        <v/>
      </c>
      <c r="M44" s="2" t="str">
        <f t="shared" si="4"/>
        <v/>
      </c>
      <c r="N44" s="2" t="str">
        <f t="shared" si="5"/>
        <v/>
      </c>
      <c r="O44" s="3" t="str">
        <f t="shared" si="6"/>
        <v/>
      </c>
      <c r="P44" s="4" t="str">
        <f>IF(H44,[1]!dtmFileDateInfo(CONCATENATE(WWInclude,N44)),"")</f>
        <v/>
      </c>
      <c r="Q44" s="5"/>
      <c r="R44" s="2" t="str">
        <f>IF(H44,CONCATENATE([1]!AddBackslash(WWBin),F44),"")</f>
        <v/>
      </c>
      <c r="S44" s="2" t="str">
        <f t="shared" si="7"/>
        <v/>
      </c>
      <c r="T44" s="2" t="str">
        <f t="shared" si="8"/>
        <v/>
      </c>
    </row>
    <row r="45" spans="1:20" x14ac:dyDescent="0.25">
      <c r="A45" s="1" t="s">
        <v>43</v>
      </c>
      <c r="B45" s="1">
        <f t="shared" si="9"/>
        <v>33</v>
      </c>
      <c r="C45" s="1">
        <f t="shared" si="0"/>
        <v>65</v>
      </c>
      <c r="D45" s="1" t="str">
        <f t="shared" si="13"/>
        <v>C:\Windows\SysWOW64\AudioSes.dll</v>
      </c>
      <c r="E45" s="1" t="str">
        <f>[1]!GetFolder(D45)</f>
        <v>C:\Windows\SysWOW64</v>
      </c>
      <c r="F45" s="2" t="str">
        <f>[1]!GetFile(D45)</f>
        <v>AudioSes.dll</v>
      </c>
      <c r="G45" s="2" t="str">
        <f>UPPER(RIGHT([1]!GetExtension(D45),LEN([1]!GetExtension(D45))-1))</f>
        <v>DLL</v>
      </c>
      <c r="H45" s="2" t="b">
        <f t="shared" si="10"/>
        <v>0</v>
      </c>
      <c r="I45" s="2" t="b">
        <f t="shared" si="2"/>
        <v>1</v>
      </c>
      <c r="J45" s="2" t="b">
        <f t="shared" si="3"/>
        <v>0</v>
      </c>
      <c r="K45" s="2" t="str">
        <f>IF(H45,[1]!GetVersionInfo_WW(D45,3),"")</f>
        <v/>
      </c>
      <c r="L45" s="2" t="str">
        <f>IF(H45,[1]!GetVersionInfo_WW(CONCATENATE([1]!AddBackslash(WWBin),F45),3),"")</f>
        <v/>
      </c>
      <c r="M45" s="2" t="str">
        <f t="shared" si="4"/>
        <v/>
      </c>
      <c r="N45" s="2" t="str">
        <f t="shared" si="5"/>
        <v/>
      </c>
      <c r="O45" s="3" t="str">
        <f t="shared" si="6"/>
        <v/>
      </c>
      <c r="P45" s="4" t="str">
        <f>IF(H45,[1]!dtmFileDateInfo(CONCATENATE(WWInclude,N45)),"")</f>
        <v/>
      </c>
      <c r="Q45" s="5"/>
      <c r="R45" s="2" t="str">
        <f>IF(H45,CONCATENATE([1]!AddBackslash(WWBin),F45),"")</f>
        <v/>
      </c>
      <c r="S45" s="2" t="str">
        <f t="shared" si="7"/>
        <v/>
      </c>
      <c r="T45" s="2" t="str">
        <f t="shared" si="8"/>
        <v/>
      </c>
    </row>
    <row r="46" spans="1:20" x14ac:dyDescent="0.25">
      <c r="A46" s="1" t="s">
        <v>44</v>
      </c>
      <c r="B46" s="1">
        <f t="shared" si="9"/>
        <v>33</v>
      </c>
      <c r="C46" s="1">
        <f t="shared" si="0"/>
        <v>64</v>
      </c>
      <c r="D46" s="1" t="str">
        <f t="shared" si="13"/>
        <v>C:\Windows\SysWOW64\msacm32.drv</v>
      </c>
      <c r="E46" s="1" t="str">
        <f>[1]!GetFolder(D46)</f>
        <v>C:\Windows\SysWOW64</v>
      </c>
      <c r="F46" s="2" t="str">
        <f>[1]!GetFile(D46)</f>
        <v>msacm32.drv</v>
      </c>
      <c r="G46" s="2" t="str">
        <f>UPPER(RIGHT([1]!GetExtension(D46),LEN([1]!GetExtension(D46))-1))</f>
        <v>DRV</v>
      </c>
      <c r="H46" s="2" t="b">
        <f t="shared" si="10"/>
        <v>0</v>
      </c>
      <c r="I46" s="2" t="b">
        <f t="shared" si="2"/>
        <v>1</v>
      </c>
      <c r="J46" s="2" t="b">
        <f t="shared" si="3"/>
        <v>0</v>
      </c>
      <c r="K46" s="2" t="str">
        <f>IF(H46,[1]!GetVersionInfo_WW(D46,3),"")</f>
        <v/>
      </c>
      <c r="L46" s="2" t="str">
        <f>IF(H46,[1]!GetVersionInfo_WW(CONCATENATE([1]!AddBackslash(WWBin),F46),3),"")</f>
        <v/>
      </c>
      <c r="M46" s="2" t="str">
        <f t="shared" si="4"/>
        <v/>
      </c>
      <c r="N46" s="2" t="str">
        <f t="shared" si="5"/>
        <v/>
      </c>
      <c r="O46" s="3" t="str">
        <f t="shared" si="6"/>
        <v/>
      </c>
      <c r="P46" s="4" t="str">
        <f>IF(H46,[1]!dtmFileDateInfo(CONCATENATE(WWInclude,N46)),"")</f>
        <v/>
      </c>
      <c r="Q46" s="5"/>
      <c r="R46" s="2" t="str">
        <f>IF(H46,CONCATENATE([1]!AddBackslash(WWBin),F46),"")</f>
        <v/>
      </c>
      <c r="S46" s="2" t="str">
        <f t="shared" si="7"/>
        <v/>
      </c>
      <c r="T46" s="2" t="str">
        <f t="shared" si="8"/>
        <v/>
      </c>
    </row>
    <row r="47" spans="1:20" x14ac:dyDescent="0.25">
      <c r="A47" s="1" t="s">
        <v>45</v>
      </c>
      <c r="B47" s="1">
        <f t="shared" si="9"/>
        <v>33</v>
      </c>
      <c r="C47" s="1">
        <f t="shared" si="0"/>
        <v>64</v>
      </c>
      <c r="D47" s="1" t="str">
        <f t="shared" si="13"/>
        <v>C:\Windows\SysWOW64\msacm32.dll</v>
      </c>
      <c r="E47" s="1" t="str">
        <f>[1]!GetFolder(D47)</f>
        <v>C:\Windows\SysWOW64</v>
      </c>
      <c r="F47" s="2" t="str">
        <f>[1]!GetFile(D47)</f>
        <v>msacm32.dll</v>
      </c>
      <c r="G47" s="2" t="str">
        <f>UPPER(RIGHT([1]!GetExtension(D47),LEN([1]!GetExtension(D47))-1))</f>
        <v>DLL</v>
      </c>
      <c r="H47" s="2" t="b">
        <f t="shared" si="10"/>
        <v>0</v>
      </c>
      <c r="I47" s="2" t="b">
        <f t="shared" si="2"/>
        <v>1</v>
      </c>
      <c r="J47" s="2" t="b">
        <f t="shared" si="3"/>
        <v>0</v>
      </c>
      <c r="K47" s="2" t="str">
        <f>IF(H47,[1]!GetVersionInfo_WW(D47,3),"")</f>
        <v/>
      </c>
      <c r="L47" s="2" t="str">
        <f>IF(H47,[1]!GetVersionInfo_WW(CONCATENATE([1]!AddBackslash(WWBin),F47),3),"")</f>
        <v/>
      </c>
      <c r="M47" s="2" t="str">
        <f t="shared" si="4"/>
        <v/>
      </c>
      <c r="N47" s="2" t="str">
        <f t="shared" si="5"/>
        <v/>
      </c>
      <c r="O47" s="3" t="str">
        <f t="shared" si="6"/>
        <v/>
      </c>
      <c r="P47" s="4" t="str">
        <f>IF(H47,[1]!dtmFileDateInfo(CONCATENATE(WWInclude,N47)),"")</f>
        <v/>
      </c>
      <c r="Q47" s="5"/>
      <c r="R47" s="2" t="str">
        <f>IF(H47,CONCATENATE([1]!AddBackslash(WWBin),F47),"")</f>
        <v/>
      </c>
      <c r="S47" s="2" t="str">
        <f t="shared" si="7"/>
        <v/>
      </c>
      <c r="T47" s="2" t="str">
        <f t="shared" si="8"/>
        <v/>
      </c>
    </row>
    <row r="48" spans="1:20" x14ac:dyDescent="0.25">
      <c r="A48" s="1" t="s">
        <v>46</v>
      </c>
      <c r="B48" s="1">
        <f t="shared" si="9"/>
        <v>33</v>
      </c>
      <c r="C48" s="1">
        <f t="shared" si="0"/>
        <v>64</v>
      </c>
      <c r="D48" s="1" t="str">
        <f t="shared" si="13"/>
        <v>C:\Windows\SysWOW64\midimap.dll</v>
      </c>
      <c r="E48" s="1" t="str">
        <f>[1]!GetFolder(D48)</f>
        <v>C:\Windows\SysWOW64</v>
      </c>
      <c r="F48" s="2" t="str">
        <f>[1]!GetFile(D48)</f>
        <v>midimap.dll</v>
      </c>
      <c r="G48" s="2" t="str">
        <f>UPPER(RIGHT([1]!GetExtension(D48),LEN([1]!GetExtension(D48))-1))</f>
        <v>DLL</v>
      </c>
      <c r="H48" s="2" t="b">
        <f t="shared" si="10"/>
        <v>0</v>
      </c>
      <c r="I48" s="2" t="b">
        <f t="shared" si="2"/>
        <v>1</v>
      </c>
      <c r="J48" s="2" t="b">
        <f t="shared" si="3"/>
        <v>0</v>
      </c>
      <c r="K48" s="2" t="str">
        <f>IF(H48,[1]!GetVersionInfo_WW(D48,3),"")</f>
        <v/>
      </c>
      <c r="L48" s="2" t="str">
        <f>IF(H48,[1]!GetVersionInfo_WW(CONCATENATE([1]!AddBackslash(WWBin),F48),3),"")</f>
        <v/>
      </c>
      <c r="M48" s="2" t="str">
        <f t="shared" si="4"/>
        <v/>
      </c>
      <c r="N48" s="2" t="str">
        <f t="shared" si="5"/>
        <v/>
      </c>
      <c r="O48" s="3" t="str">
        <f t="shared" si="6"/>
        <v/>
      </c>
      <c r="P48" s="4" t="str">
        <f>IF(H48,[1]!dtmFileDateInfo(CONCATENATE(WWInclude,N48)),"")</f>
        <v/>
      </c>
      <c r="Q48" s="5"/>
      <c r="R48" s="2" t="str">
        <f>IF(H48,CONCATENATE([1]!AddBackslash(WWBin),F48),"")</f>
        <v/>
      </c>
      <c r="S48" s="2" t="str">
        <f t="shared" si="7"/>
        <v/>
      </c>
      <c r="T48" s="2" t="str">
        <f t="shared" si="8"/>
        <v/>
      </c>
    </row>
    <row r="49" spans="1:20" x14ac:dyDescent="0.25">
      <c r="A49" s="1" t="s">
        <v>47</v>
      </c>
      <c r="B49" s="1">
        <f t="shared" si="9"/>
        <v>33</v>
      </c>
      <c r="C49" s="1">
        <f t="shared" si="0"/>
        <v>64</v>
      </c>
      <c r="D49" s="1" t="str">
        <f t="shared" si="13"/>
        <v>C:\Windows\SysWOW64\clbcatq.dll</v>
      </c>
      <c r="E49" s="1" t="str">
        <f>[1]!GetFolder(D49)</f>
        <v>C:\Windows\SysWOW64</v>
      </c>
      <c r="F49" s="2" t="str">
        <f>[1]!GetFile(D49)</f>
        <v>clbcatq.dll</v>
      </c>
      <c r="G49" s="2" t="str">
        <f>UPPER(RIGHT([1]!GetExtension(D49),LEN([1]!GetExtension(D49))-1))</f>
        <v>DLL</v>
      </c>
      <c r="H49" s="2" t="b">
        <f t="shared" si="10"/>
        <v>0</v>
      </c>
      <c r="I49" s="2" t="b">
        <f t="shared" si="2"/>
        <v>1</v>
      </c>
      <c r="J49" s="2" t="b">
        <f t="shared" si="3"/>
        <v>0</v>
      </c>
      <c r="K49" s="2" t="str">
        <f>IF(H49,[1]!GetVersionInfo_WW(D49,3),"")</f>
        <v/>
      </c>
      <c r="L49" s="2" t="str">
        <f>IF(H49,[1]!GetVersionInfo_WW(CONCATENATE([1]!AddBackslash(WWBin),F49),3),"")</f>
        <v/>
      </c>
      <c r="M49" s="2" t="str">
        <f t="shared" si="4"/>
        <v/>
      </c>
      <c r="N49" s="2" t="str">
        <f t="shared" si="5"/>
        <v/>
      </c>
      <c r="O49" s="3" t="str">
        <f t="shared" si="6"/>
        <v/>
      </c>
      <c r="P49" s="4" t="str">
        <f>IF(H49,[1]!dtmFileDateInfo(CONCATENATE(WWInclude,N49)),"")</f>
        <v/>
      </c>
      <c r="Q49" s="5"/>
      <c r="R49" s="2" t="str">
        <f>IF(H49,CONCATENATE([1]!AddBackslash(WWBin),F49),"")</f>
        <v/>
      </c>
      <c r="S49" s="2" t="str">
        <f t="shared" si="7"/>
        <v/>
      </c>
      <c r="T49" s="2" t="str">
        <f t="shared" si="8"/>
        <v/>
      </c>
    </row>
    <row r="50" spans="1:20" x14ac:dyDescent="0.25">
      <c r="A50" s="10" t="s">
        <v>48</v>
      </c>
      <c r="B50" s="11"/>
      <c r="C50" s="11"/>
      <c r="D50" s="11"/>
      <c r="E50" s="11"/>
      <c r="F50" s="11"/>
      <c r="G50" s="11"/>
      <c r="H50" s="11"/>
      <c r="I50" s="11"/>
      <c r="J50" s="11"/>
      <c r="K50" s="11"/>
      <c r="L50" s="11"/>
      <c r="M50" s="11"/>
      <c r="N50" s="11"/>
      <c r="O50" s="11"/>
      <c r="P50" s="11"/>
      <c r="Q50" s="11"/>
    </row>
    <row r="51" spans="1:20" x14ac:dyDescent="0.25">
      <c r="A51" s="10" t="s">
        <v>49</v>
      </c>
      <c r="B51" s="11"/>
      <c r="C51" s="11"/>
      <c r="D51" s="11"/>
      <c r="E51" s="11"/>
      <c r="F51" s="11"/>
      <c r="G51" s="11"/>
      <c r="H51" s="11"/>
      <c r="I51" s="11"/>
      <c r="J51" s="11"/>
      <c r="K51" s="11"/>
      <c r="L51" s="11"/>
      <c r="M51" s="11"/>
      <c r="N51" s="11"/>
      <c r="O51" s="11"/>
      <c r="P51" s="11"/>
      <c r="Q51" s="11"/>
    </row>
    <row r="52" spans="1:20" x14ac:dyDescent="0.25">
      <c r="A52" s="10" t="s">
        <v>50</v>
      </c>
      <c r="B52" s="11"/>
      <c r="C52" s="11"/>
      <c r="D52" s="11"/>
      <c r="E52" s="11"/>
      <c r="F52" s="11"/>
      <c r="G52" s="11"/>
      <c r="H52" s="11"/>
      <c r="I52" s="11"/>
      <c r="J52" s="11"/>
      <c r="K52" s="11"/>
      <c r="L52" s="11"/>
      <c r="M52" s="11"/>
      <c r="N52" s="11"/>
      <c r="O52" s="11"/>
      <c r="P52" s="11"/>
      <c r="Q52" s="11"/>
    </row>
    <row r="53" spans="1:20" x14ac:dyDescent="0.25">
      <c r="A53" s="10" t="s">
        <v>51</v>
      </c>
      <c r="B53" s="11"/>
      <c r="C53" s="11"/>
      <c r="D53" s="11"/>
      <c r="E53" s="11"/>
      <c r="F53" s="11"/>
      <c r="G53" s="11"/>
      <c r="H53" s="11"/>
      <c r="I53" s="11"/>
      <c r="J53" s="11"/>
      <c r="K53" s="11"/>
      <c r="L53" s="11"/>
      <c r="M53" s="11"/>
      <c r="N53" s="11"/>
      <c r="O53" s="11"/>
      <c r="P53" s="11"/>
      <c r="Q53" s="11"/>
    </row>
    <row r="54" spans="1:20" x14ac:dyDescent="0.25">
      <c r="A54" s="10" t="s">
        <v>52</v>
      </c>
      <c r="B54" s="11"/>
      <c r="C54" s="11"/>
      <c r="D54" s="11"/>
      <c r="E54" s="11"/>
      <c r="F54" s="11"/>
      <c r="G54" s="11"/>
      <c r="H54" s="11"/>
      <c r="I54" s="11"/>
      <c r="J54" s="11"/>
      <c r="K54" s="11"/>
      <c r="L54" s="11"/>
      <c r="M54" s="11"/>
      <c r="N54" s="11"/>
      <c r="O54" s="11"/>
      <c r="P54" s="11"/>
      <c r="Q54" s="11"/>
    </row>
    <row r="55" spans="1:20" x14ac:dyDescent="0.25">
      <c r="A55" s="10" t="s">
        <v>53</v>
      </c>
      <c r="B55" s="11"/>
      <c r="C55" s="11"/>
      <c r="D55" s="11"/>
      <c r="E55" s="11"/>
      <c r="F55" s="11"/>
      <c r="G55" s="11"/>
      <c r="H55" s="11"/>
      <c r="I55" s="11"/>
      <c r="J55" s="11"/>
      <c r="K55" s="11"/>
      <c r="L55" s="11"/>
      <c r="M55" s="11"/>
      <c r="N55" s="11"/>
      <c r="O55" s="11"/>
      <c r="P55" s="11"/>
      <c r="Q55" s="11"/>
    </row>
  </sheetData>
  <mergeCells count="20">
    <mergeCell ref="D1:F1"/>
    <mergeCell ref="G1:J1"/>
    <mergeCell ref="K1:M1"/>
    <mergeCell ref="A7:A10"/>
    <mergeCell ref="B7:B10"/>
    <mergeCell ref="C7:C10"/>
    <mergeCell ref="D7:D10"/>
    <mergeCell ref="E7:E10"/>
    <mergeCell ref="F7:F10"/>
    <mergeCell ref="G7:G10"/>
    <mergeCell ref="N7:N10"/>
    <mergeCell ref="O7:O10"/>
    <mergeCell ref="P7:P10"/>
    <mergeCell ref="R7:R10"/>
    <mergeCell ref="H7:H10"/>
    <mergeCell ref="I7:I10"/>
    <mergeCell ref="J7:J10"/>
    <mergeCell ref="K7:K10"/>
    <mergeCell ref="L7:L10"/>
    <mergeCell ref="M7:M10"/>
  </mergeCells>
  <conditionalFormatting sqref="A3:J3">
    <cfRule type="expression" dxfId="35" priority="63">
      <formula>$H3</formula>
    </cfRule>
  </conditionalFormatting>
  <conditionalFormatting sqref="K3">
    <cfRule type="expression" dxfId="34" priority="61">
      <formula>$H3</formula>
    </cfRule>
  </conditionalFormatting>
  <conditionalFormatting sqref="L3">
    <cfRule type="expression" dxfId="33" priority="59">
      <formula>$H3</formula>
    </cfRule>
  </conditionalFormatting>
  <conditionalFormatting sqref="M3">
    <cfRule type="expression" dxfId="32" priority="57">
      <formula>$H3</formula>
    </cfRule>
  </conditionalFormatting>
  <conditionalFormatting sqref="A3:M3">
    <cfRule type="expression" dxfId="31" priority="52">
      <formula>NOT($M3)</formula>
    </cfRule>
  </conditionalFormatting>
  <conditionalFormatting sqref="N4:N7 N11:N49">
    <cfRule type="expression" dxfId="30" priority="22">
      <formula>$H4</formula>
    </cfRule>
  </conditionalFormatting>
  <conditionalFormatting sqref="A4:J7 A11:J49">
    <cfRule type="expression" dxfId="29" priority="41">
      <formula>$H4</formula>
    </cfRule>
  </conditionalFormatting>
  <conditionalFormatting sqref="K4:K7 K11:K49">
    <cfRule type="expression" dxfId="28" priority="40">
      <formula>$H4</formula>
    </cfRule>
  </conditionalFormatting>
  <conditionalFormatting sqref="L4:L7 L11:L49">
    <cfRule type="expression" dxfId="27" priority="39">
      <formula>$H4</formula>
    </cfRule>
  </conditionalFormatting>
  <conditionalFormatting sqref="M4:M7 M11:M49">
    <cfRule type="expression" dxfId="26" priority="38">
      <formula>$H4</formula>
    </cfRule>
  </conditionalFormatting>
  <conditionalFormatting sqref="A4:M7 A11:M49">
    <cfRule type="expression" dxfId="25" priority="37">
      <formula>NOT($M4)</formula>
    </cfRule>
  </conditionalFormatting>
  <conditionalFormatting sqref="N3:O3">
    <cfRule type="expression" dxfId="24" priority="36">
      <formula>$H3</formula>
    </cfRule>
  </conditionalFormatting>
  <conditionalFormatting sqref="N3:O3">
    <cfRule type="expression" dxfId="23" priority="35">
      <formula>NOT($M3)</formula>
    </cfRule>
  </conditionalFormatting>
  <conditionalFormatting sqref="P4:P7 P11:P49">
    <cfRule type="expression" dxfId="22" priority="30">
      <formula>$H4</formula>
    </cfRule>
  </conditionalFormatting>
  <conditionalFormatting sqref="P4:P7 P11:P49">
    <cfRule type="expression" dxfId="21" priority="29">
      <formula>NOT($M4)</formula>
    </cfRule>
  </conditionalFormatting>
  <conditionalFormatting sqref="P3">
    <cfRule type="expression" dxfId="20" priority="32">
      <formula>$H3</formula>
    </cfRule>
  </conditionalFormatting>
  <conditionalFormatting sqref="P3">
    <cfRule type="expression" dxfId="19" priority="31">
      <formula>NOT($M3)</formula>
    </cfRule>
  </conditionalFormatting>
  <conditionalFormatting sqref="Q4:Q49">
    <cfRule type="expression" dxfId="18" priority="26">
      <formula>$H4</formula>
    </cfRule>
  </conditionalFormatting>
  <conditionalFormatting sqref="Q4:Q49">
    <cfRule type="expression" dxfId="17" priority="25">
      <formula>NOT($M4)</formula>
    </cfRule>
  </conditionalFormatting>
  <conditionalFormatting sqref="Q3">
    <cfRule type="expression" dxfId="16" priority="28">
      <formula>$H3</formula>
    </cfRule>
  </conditionalFormatting>
  <conditionalFormatting sqref="Q3">
    <cfRule type="expression" dxfId="15" priority="27">
      <formula>NOT($M3)</formula>
    </cfRule>
  </conditionalFormatting>
  <conditionalFormatting sqref="O4:O7 O11:O49">
    <cfRule type="expression" dxfId="14" priority="18">
      <formula>$H4</formula>
    </cfRule>
  </conditionalFormatting>
  <conditionalFormatting sqref="N4:N7 N11:N49">
    <cfRule type="expression" dxfId="13" priority="21">
      <formula>NOT($M4)</formula>
    </cfRule>
  </conditionalFormatting>
  <conditionalFormatting sqref="O4:O7 O11:O49">
    <cfRule type="expression" dxfId="12" priority="17">
      <formula>NOT($M4)</formula>
    </cfRule>
  </conditionalFormatting>
  <conditionalFormatting sqref="R4:R7 R11:R49">
    <cfRule type="expression" dxfId="11" priority="14">
      <formula>$H4</formula>
    </cfRule>
  </conditionalFormatting>
  <conditionalFormatting sqref="R3">
    <cfRule type="expression" dxfId="10" priority="16">
      <formula>$H3</formula>
    </cfRule>
  </conditionalFormatting>
  <conditionalFormatting sqref="R3">
    <cfRule type="expression" dxfId="9" priority="15">
      <formula>NOT($M3)</formula>
    </cfRule>
  </conditionalFormatting>
  <conditionalFormatting sqref="R4:R7 R11:R49">
    <cfRule type="expression" dxfId="8" priority="13">
      <formula>NOT($M4)</formula>
    </cfRule>
  </conditionalFormatting>
  <conditionalFormatting sqref="S3">
    <cfRule type="expression" dxfId="7" priority="12">
      <formula>$H3</formula>
    </cfRule>
  </conditionalFormatting>
  <conditionalFormatting sqref="S3">
    <cfRule type="expression" dxfId="6" priority="11">
      <formula>NOT($M3)</formula>
    </cfRule>
  </conditionalFormatting>
  <conditionalFormatting sqref="T3">
    <cfRule type="expression" dxfId="5" priority="8">
      <formula>$H3</formula>
    </cfRule>
  </conditionalFormatting>
  <conditionalFormatting sqref="T3">
    <cfRule type="expression" dxfId="4" priority="7">
      <formula>NOT($M3)</formula>
    </cfRule>
  </conditionalFormatting>
  <conditionalFormatting sqref="S4:S49">
    <cfRule type="expression" dxfId="3" priority="4">
      <formula>$H4</formula>
    </cfRule>
  </conditionalFormatting>
  <conditionalFormatting sqref="S4:S49">
    <cfRule type="expression" dxfId="2" priority="3">
      <formula>NOT($M4)</formula>
    </cfRule>
  </conditionalFormatting>
  <conditionalFormatting sqref="T4:T49">
    <cfRule type="expression" dxfId="1" priority="2">
      <formula>$H4</formula>
    </cfRule>
  </conditionalFormatting>
  <conditionalFormatting sqref="T4:T49">
    <cfRule type="expression" dxfId="0" priority="1">
      <formula>NOT($M4)</formula>
    </cfRule>
  </conditionalFormatting>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 Gray</dc:creator>
  <cp:lastModifiedBy>David A. Gray</cp:lastModifiedBy>
  <dcterms:created xsi:type="dcterms:W3CDTF">2017-05-09T22:29:25Z</dcterms:created>
  <dcterms:modified xsi:type="dcterms:W3CDTF">2017-05-10T04:05:38Z</dcterms:modified>
</cp:coreProperties>
</file>